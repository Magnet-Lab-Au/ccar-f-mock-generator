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omain 1" sheetId="2" state="visible" r:id="rId4"/>
    <sheet name="Domain 2" sheetId="3" state="visible" r:id="rId5"/>
    <sheet name="Domain 3" sheetId="4" state="visible" r:id="rId6"/>
    <sheet name="Domain 4" sheetId="5" state="visible" r:id="rId7"/>
    <sheet name="Domain 5"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<sst xmlns="http://schemas.openxmlformats.org/spreadsheetml/2006/main" count="1773" uniqueCount="784">
  <si>
    <t xml:space="preserve">Task statements: decisions for the second build</t>
  </si>
  <si>
    <t xml:space="preserve">Source: exam guide Version 1.0, July 2026, Section 6. The text of each point is exact. An independent reviewer confirmed all 240 points.</t>
  </si>
  <si>
    <t xml:space="preserve">How to use this file</t>
  </si>
  <si>
    <t xml:space="preserve">1. Open the sheet of a domain. Each row is one Knowledge (K) or Skills (S) point.</t>
  </si>
  <si>
    <t xml:space="preserve">2. Fill in only the yellow columns: "Your decision", "Where in the pipeline" and "Your notes".</t>
  </si>
  <si>
    <t xml:space="preserve">3. "Your decision" has a list: Use, Do not use, Not sure.</t>
  </si>
  <si>
    <t xml:space="preserve">4. The grey row above each group is the task statement. Its yellow cell is for a note on the full task statement.</t>
  </si>
  <si>
    <t xml:space="preserve">The columns that are already filled</t>
  </si>
  <si>
    <t xml:space="preserve">"Old build": the result of the audit of 2 October 2026 for this point.</t>
  </si>
  <si>
    <t xml:space="preserve">"Fit": strong = a skilled architect would use the practice for this work. weak = small value. none = no use.</t>
  </si>
  <si>
    <t xml:space="preserve">"Suggested decision": a first suggestion from the audit. It is not a decision. Rule: "Do not use" for a point that does not fit, "Use" for each other point. Points with a weak fit need your judgment most.</t>
  </si>
  <si>
    <t xml:space="preserve">"What it would be in the build": one or two sentences from the audit. Empty where the old build applied the practice with no gap.</t>
  </si>
  <si>
    <t xml:space="preserve">Example of a filled row (not a real decision)</t>
  </si>
  <si>
    <t xml:space="preserve">Your decision: Use.   Where in the pipeline: Verifier step.   Your notes: The verifier must get the full text of each earlier question.</t>
  </si>
  <si>
    <t xml:space="preserve">Progress</t>
  </si>
  <si>
    <t xml:space="preserve">Domain</t>
  </si>
  <si>
    <t xml:space="preserve">Points</t>
  </si>
  <si>
    <t xml:space="preserve">Use</t>
  </si>
  <si>
    <t xml:space="preserve">Do not use</t>
  </si>
  <si>
    <t xml:space="preserve">Not sure</t>
  </si>
  <si>
    <t xml:space="preserve">No decision yet</t>
  </si>
  <si>
    <t xml:space="preserve">Domain 1</t>
  </si>
  <si>
    <t xml:space="preserve">Domain 2</t>
  </si>
  <si>
    <t xml:space="preserve">Domain 3</t>
  </si>
  <si>
    <t xml:space="preserve">Domain 4</t>
  </si>
  <si>
    <t xml:space="preserve">Domain 5</t>
  </si>
  <si>
    <t xml:space="preserve">Total</t>
  </si>
  <si>
    <t xml:space="preserve">Domain 1: Agentic Architecture &amp; Orchestration</t>
  </si>
  <si>
    <t xml:space="preserve">ID</t>
  </si>
  <si>
    <t xml:space="preserve">Kind</t>
  </si>
  <si>
    <t xml:space="preserve">Point (exact guide text)</t>
  </si>
  <si>
    <t xml:space="preserve">Old build</t>
  </si>
  <si>
    <t xml:space="preserve">Fit</t>
  </si>
  <si>
    <t xml:space="preserve">Suggested decision</t>
  </si>
  <si>
    <t xml:space="preserve">What it would be in the build</t>
  </si>
  <si>
    <t xml:space="preserve">Your decision</t>
  </si>
  <si>
    <t xml:space="preserve">Where in the pipeline</t>
  </si>
  <si>
    <t xml:space="preserve">Your notes</t>
  </si>
  <si>
    <t xml:space="preserve">Task statement 1.1: Design and implement agentic loops for autonomous task execution</t>
  </si>
  <si>
    <t xml:space="preserve">1.1-K1</t>
  </si>
  <si>
    <t xml:space="preserve">Knowledge</t>
  </si>
  <si>
    <t xml:space="preserve">The agentic loop lifecycle: sending requests to Claude, inspecting stop_reason ("tool_use" vs "end_turn"), executing requested tools, and returning results for the next iteration</t>
  </si>
  <si>
    <t xml:space="preserve">Not applied</t>
  </si>
  <si>
    <t xml:space="preserve">weak</t>
  </si>
  <si>
    <t xml:space="preserve">Own code calls the API for each reviewer. It runs the tools that the model asks for while stop_reason is "tool_use" and it stops on "end_turn". The code then sees each call and each result.</t>
  </si>
  <si>
    <t xml:space="preserve">1.1-K2</t>
  </si>
  <si>
    <t xml:space="preserve">How tool results are appended to conversation history so the model can reason about the next action</t>
  </si>
  <si>
    <t xml:space="preserve">Own loop code adds each tool result (for example the guide text that a reviewer asked for) to the message list before the next request.</t>
  </si>
  <si>
    <t xml:space="preserve">1.1-K3</t>
  </si>
  <si>
    <t xml:space="preserve">The distinction between model-driven decision-making (Claude reasons about which tool to call next based on context) and pre-configured decision trees or tool sequences</t>
  </si>
  <si>
    <t xml:space="preserve">Applied in part</t>
  </si>
  <si>
    <t xml:space="preserve">strong</t>
  </si>
  <si>
    <t xml:space="preserve">Code runs the fixed chain: generate, check the format, verify, join by ID, gate, bank. The model decides only the open questions, for example which new rule a defect needs.</t>
  </si>
  <si>
    <t xml:space="preserve">1.1-S1</t>
  </si>
  <si>
    <t xml:space="preserve">Skills</t>
  </si>
  <si>
    <t xml:space="preserve">Implementing agentic loop control flow that continues when stop_reason is "tool_use" and terminates when stop_reason is "end_turn"</t>
  </si>
  <si>
    <t xml:space="preserve">A small runner in the repo: send the request, run the tools while stop_reason is "tool_use", stop on "end_turn", write the result and a run record.</t>
  </si>
  <si>
    <t xml:space="preserve">1.1-S2</t>
  </si>
  <si>
    <t xml:space="preserve">Adding tool results to conversation context between iterations so the model can incorporate new information into its reasoning</t>
  </si>
  <si>
    <t xml:space="preserve">In an own runner, each tool result goes into the message list before the next request, so that the reviewer can use the guide text that it asked for.</t>
  </si>
  <si>
    <t xml:space="preserve">1.1-S3</t>
  </si>
  <si>
    <t xml:space="preserve">Avoiding anti-patterns such as parsing natural language signals to determine loop termination, setting arbitrary iteration caps as the primary stopping mechanism, or checking for assistant text content as a completion indicator</t>
  </si>
  <si>
    <t xml:space="preserve">A run is complete only when code reads its output and finds the expected count of valid records. A loop ends on counts from the verdict fields, never on an agent's last message or on a file that exists.</t>
  </si>
  <si>
    <t xml:space="preserve">Task statement 1.2: Orchestrate multi-agent systems with coordinator-subagent patterns</t>
  </si>
  <si>
    <t xml:space="preserve">1.2-K1</t>
  </si>
  <si>
    <t xml:space="preserve">Hub-and-spoke architecture where a coordinator agent manages all inter-subagent communication, error handling, and information routing</t>
  </si>
  <si>
    <t xml:space="preserve">The coordinator's code checks each result file (size, count, format) before it passes anything on. A failed run returns a short failure record. Each agent can read only its own packet.</t>
  </si>
  <si>
    <t xml:space="preserve">1.2-K2</t>
  </si>
  <si>
    <t xml:space="preserve">How subagents operate with isolated context—they do not inherit the coordinator's conversation history automatically</t>
  </si>
  <si>
    <t xml:space="preserve">A list for each role of what the agent must receive. Code builds the packet from the list and fails when a part is missing.</t>
  </si>
  <si>
    <t xml:space="preserve">1.2-K3</t>
  </si>
  <si>
    <t xml:space="preserve">The role of the coordinator in task decomposition, delegation, result aggregation, and deciding which subagents to invoke based on query complexity</t>
  </si>
  <si>
    <t xml:space="preserve">The coordinator's code joins each result by question ID, counts the verdicts for each slice and stops when a count is wrong.</t>
  </si>
  <si>
    <t xml:space="preserve">1.2-K4</t>
  </si>
  <si>
    <t xml:space="preserve">Risks of overly narrow task decomposition by the coordinator, leading to incomplete coverage of broad research topics</t>
  </si>
  <si>
    <t xml:space="preserve">Before a paper is final, code prints a table of task statement by scenario with counts. An empty cell goes back to a generator as a new slice, or the gap is written into the record of the paper.</t>
  </si>
  <si>
    <t xml:space="preserve">1.2-S1</t>
  </si>
  <si>
    <t xml:space="preserve">Designing coordinator agents that analyze query requirements and dynamically select which subagents to invoke rather than always routing through the full pipeline</t>
  </si>
  <si>
    <t xml:space="preserve">For each rejected question the coordinator reads the failed rule. A build fault goes back to one generator with the reason. A duplicate is dropped. A fact fault goes to the gap log.</t>
  </si>
  <si>
    <t xml:space="preserve">1.2-S2</t>
  </si>
  <si>
    <t xml:space="preserve">Partitioning research scope across subagents to minimize duplication (e.g., assigning distinct subtopics or source types to each agent)</t>
  </si>
  <si>
    <t xml:space="preserve">The coordinator keeps a table of the scenes already used for each task statement. Each new slice gets one named point of the guide that is still free, not only a task statement number.</t>
  </si>
  <si>
    <t xml:space="preserve">1.2-S3</t>
  </si>
  <si>
    <t xml:space="preserve">Implementing iterative refinement loops where the coordinator evaluates synthesis output for gaps, re-delegates to search and analysis subagents with targeted queries, and re-invokes synthesis until coverage is sufficient</t>
  </si>
  <si>
    <t xml:space="preserve">After each batch the coordinator compares the accepted questions with the blueprint table. It sends one new slice for each empty cell, until the table is full or the gap is logged.</t>
  </si>
  <si>
    <t xml:space="preserve">1.2-S4</t>
  </si>
  <si>
    <t xml:space="preserve">Routing all subagent communication through the coordinator for observability, consistent error handling, and controlled information flow</t>
  </si>
  <si>
    <t xml:space="preserve">Code writes one run record for each agent call: prompt, input IDs, output IDs, counts, start and end time. The coordinator reads the record, not the agent's last message.</t>
  </si>
  <si>
    <t xml:space="preserve">Task statement 1.3: Configure subagent invocation, context passing, and spawning</t>
  </si>
  <si>
    <t xml:space="preserve">1.3-K1</t>
  </si>
  <si>
    <t xml:space="preserve">The Task tool as the mechanism for spawning subagents, and the requirement that allowedTools must include "Task" for a coordinator to invoke subagents</t>
  </si>
  <si>
    <t xml:space="preserve">Applied</t>
  </si>
  <si>
    <t xml:space="preserve">1.3-K2</t>
  </si>
  <si>
    <t xml:space="preserve">That subagent context must be explicitly provided in the prompt—subagents do not automatically inherit parent context or share memory between invocations</t>
  </si>
  <si>
    <t xml:space="preserve">Each generator prompt holds the digest part for its task statements. Each review packet holds the earlier verifier note for the question.</t>
  </si>
  <si>
    <t xml:space="preserve">1.3-K3</t>
  </si>
  <si>
    <t xml:space="preserve">The AgentDefinition configuration including descriptions, system prompts, and tool restrictions for each subagent type</t>
  </si>
  <si>
    <t xml:space="preserve">By instruction only</t>
  </si>
  <si>
    <t xml:space="preserve">One saved definition for each role: a description, a system prompt and the allowed tools (none for a generator, read-only for a verifier or reviewer, one result path for an editor). The files stay with the pipeline code.</t>
  </si>
  <si>
    <t xml:space="preserve">1.3-K4</t>
  </si>
  <si>
    <t xml:space="preserve">Fork-based session management for exploring divergent approaches from a shared analysis baseline</t>
  </si>
  <si>
    <t xml:space="preserve">Freeze one copy of the bank and the rule list. Run two generator prompt variants on the same slices from that copy. Compare the rejections by rule.</t>
  </si>
  <si>
    <t xml:space="preserve">1.3-S1</t>
  </si>
  <si>
    <t xml:space="preserve">Including complete findings from prior agents directly in the subagent's prompt (e.g., passing web search results and document analysis outputs to the synthesis subagent)</t>
  </si>
  <si>
    <t xml:space="preserve">For the duplicate check the verifier gets the full text of the banked questions of the same task statement (5 to 11 questions). The review packet holds the earlier verifier note.</t>
  </si>
  <si>
    <t xml:space="preserve">1.3-S2</t>
  </si>
  <si>
    <t xml:space="preserve">Using structured data formats to separate content from metadata (source URLs, document names, page numbers) when passing context between agents to preserve attribution</t>
  </si>
  <si>
    <t xml:space="preserve">Each question gets an ID when it is generated. Each verdict object must repeat that ID. Code joins by ID and stops on a missing or unknown ID.</t>
  </si>
  <si>
    <t xml:space="preserve">1.3-S3</t>
  </si>
  <si>
    <t xml:space="preserve">Spawning parallel subagents by emitting multiple Task tool calls in a single coordinator response rather than across separate turns</t>
  </si>
  <si>
    <t xml:space="preserve">The five digest agents, and the generators of one batch, start in one coordinator response. The run record keeps the start and end time of each agent.</t>
  </si>
  <si>
    <t xml:space="preserve">1.3-S4</t>
  </si>
  <si>
    <t xml:space="preserve">Designing coordinator prompts that specify research goals and quality criteria rather than step-by-step procedural instructions, to enable subagent adaptability</t>
  </si>
  <si>
    <t xml:space="preserve">Each prompt stays in the repo next to its results, so that a later check can read the goal and the criteria that an agent got.</t>
  </si>
  <si>
    <t xml:space="preserve">Task statement 1.4: Implement multi-step workflows with enforcement and handoff patterns</t>
  </si>
  <si>
    <t xml:space="preserve">1.4-K1</t>
  </si>
  <si>
    <t xml:space="preserve">The difference between programmatic enforcement (hooks, prerequisite gates) and prompt-based guidance for workflow ordering</t>
  </si>
  <si>
    <t xml:space="preserve">One script runs the steps in order. A step starts only when the step before it wrote a valid output: the count of records, the format, one verdict for each question.</t>
  </si>
  <si>
    <t xml:space="preserve">1.4-K2</t>
  </si>
  <si>
    <t xml:space="preserve">When deterministic compliance is required (e.g., identity verification before financial operations), prompt instructions alone have a non-zero failure rate</t>
  </si>
  <si>
    <t xml:space="preserve">Each rule that code can decide is a code check: the allowed values of each field, word counts, banned punctuation, one verdict for each question, the same answer letter as the original.</t>
  </si>
  <si>
    <t xml:space="preserve">1.4-K3</t>
  </si>
  <si>
    <t xml:space="preserve">Structured handoff protocols for mid-process escalation that include customer details, root cause analysis, and recommended actions</t>
  </si>
  <si>
    <t xml:space="preserve">Each flagged question in the answer key shows the rule in doubt, the verifier's evidence in one or two sentences, and the proposed fix.</t>
  </si>
  <si>
    <t xml:space="preserve">1.4-S1</t>
  </si>
  <si>
    <t xml:space="preserve">Implementing programmatic prerequisites that block downstream tool calls until prerequisite steps have completed (e.g., blocking process_refund until get_customer has returned a verified customer ID)</t>
  </si>
  <si>
    <t xml:space="preserve">Code refuses to build a paper unless each question has one verdict joined by ID, the verdict is accept or an owner ruling, the answer letter equals the original, and each input file has the expected count of records.</t>
  </si>
  <si>
    <t xml:space="preserve">1.4-S2</t>
  </si>
  <si>
    <t xml:space="preserve">Decomposing multi-concern customer requests into distinct items, then investigating each in parallel using shared context before synthesizing a unified resolution</t>
  </si>
  <si>
    <t xml:space="preserve">One pass for each concern that needs a view of a whole paper: features outside the guide, the count of confidence distractors, repeated scenes. Then one merge step by code that also updates each field.</t>
  </si>
  <si>
    <t xml:space="preserve">1.4-S3</t>
  </si>
  <si>
    <t xml:space="preserve">Compiling structured handoff summaries (customer ID, root cause, refund amount, recommended action) when escalating to human agents who lack access to the conversation transcript</t>
  </si>
  <si>
    <t xml:space="preserve">For each flagged question the handoff gives: paper and number, the rule in doubt, the verifier's evidence, the proposed fix. Code takes each count in a handoff file from the data.</t>
  </si>
  <si>
    <t xml:space="preserve">Task statement 1.5: Apply Agent SDK hooks for tool call interception and data normalization</t>
  </si>
  <si>
    <t xml:space="preserve">1.5-K1</t>
  </si>
  <si>
    <t xml:space="preserve">Hook patterns (e.g., PostToolUse) that intercept tool results for transformation before the model processes them</t>
  </si>
  <si>
    <t xml:space="preserve">One function runs on each agent output before a later step reads it. It parses the output, maps each field to the allowed form, checks the ID and the count, and stops on a fault.</t>
  </si>
  <si>
    <t xml:space="preserve">1.5-K2</t>
  </si>
  <si>
    <t xml:space="preserve">Hook patterns that intercept outgoing tool calls to enforce compliance rules (e.g., blocking refunds above a threshold)</t>
  </si>
  <si>
    <t xml:space="preserve">Code checks each agent output before a later step may use it. A fault (no verdict, unknown ID, a value outside the list, a changed answer letter) stops the question and reports it.</t>
  </si>
  <si>
    <t xml:space="preserve">1.5-K3</t>
  </si>
  <si>
    <t xml:space="preserve">The distinction between using hooks for deterministic guarantees versus relying on prompt instructions for probabilistic compliance</t>
  </si>
  <si>
    <t xml:space="preserve">A short list of the rules that must always hold. Each one has a code check and a test. The briefs keep only the rules that need judgement.</t>
  </si>
  <si>
    <t xml:space="preserve">1.5-S1</t>
  </si>
  <si>
    <t xml:space="preserve">Implementing PostToolUse hooks to normalize heterogeneous data formats (Unix timestamps, ISO 8601, numeric status codes) from different MCP tools before the agent processes them</t>
  </si>
  <si>
    <t xml:space="preserve">Code maps each agent output to one record form before the next step: an ID, the task statement as '1.3', the domain as 'D1', the answer as a list, the verdict from a fixed list. A value that does not map stops the batch.</t>
  </si>
  <si>
    <t xml:space="preserve">1.5-S2</t>
  </si>
  <si>
    <t xml:space="preserve">Implementing tool call interception hooks that block policy-violating actions (e.g., refunds exceeding $500) and redirect to alternative workflows (e.g., human escalation)</t>
  </si>
  <si>
    <t xml:space="preserve">A gate before the bank and before each paper build. No verdict, an unknown ID, a value outside the list or a changed answer letter blocks the question and puts it on a list for the owner.</t>
  </si>
  <si>
    <t xml:space="preserve">1.5-S3</t>
  </si>
  <si>
    <t xml:space="preserve">Choosing hooks over prompt-based enforcement when business rules require guaranteed compliance</t>
  </si>
  <si>
    <t xml:space="preserve">For each rule ask one question: can code decide it? If yes, code checks it at each step and the prompt only explains it. If no, a reviewer with a rubric checks it.</t>
  </si>
  <si>
    <t xml:space="preserve">Task statement 1.6: Design task decomposition strategies for complex workflows</t>
  </si>
  <si>
    <t xml:space="preserve">1.6-K1</t>
  </si>
  <si>
    <t xml:space="preserve">When to use fixed sequential pipelines (prompt chaining) versus dynamic adaptive decomposition based on intermediate findings</t>
  </si>
  <si>
    <t xml:space="preserve">Before the first batch: a pilot of about 15 questions and a measure of the guide's 12 samples. The fixed chain starts at volume only when a pilot gives no new kind of defect.</t>
  </si>
  <si>
    <t xml:space="preserve">1.6-K2</t>
  </si>
  <si>
    <t xml:space="preserve">Prompt chaining patterns that break reviews into sequential steps (e.g., analyze each file individually, then run a cross-file integration pass)</t>
  </si>
  <si>
    <t xml:space="preserve">A fixed last step in the chain: after all local passes, one pass over the whole paper and one over all papers, each with one concern.</t>
  </si>
  <si>
    <t xml:space="preserve">1.6-K3</t>
  </si>
  <si>
    <t xml:space="preserve">The value of adaptive investigation plans that generate subtasks based on what is discovered at each step</t>
  </si>
  <si>
    <t xml:space="preserve">Each change of plan gets one line in the log: what was found, and which new task follows from it. Each note in which an agent says that it lacks an input becomes a task for the coordinator before the next batch.</t>
  </si>
  <si>
    <t xml:space="preserve">1.6-S1</t>
  </si>
  <si>
    <t xml:space="preserve">Selecting task decomposition patterns appropriate to the workflow: prompt chaining for predictable multi-aspect reviews, dynamic decomposition for open-ended investigation tasks</t>
  </si>
  <si>
    <t xml:space="preserve">For the review of a slice, a short chain of prompts: first facts and scope (R1, R4, RL1), then form (R5 to R9), then the match of the key text and the explanations (R10, R11).</t>
  </si>
  <si>
    <t xml:space="preserve">1.6-S2</t>
  </si>
  <si>
    <t xml:space="preserve">Splitting large code reviews into per-file local analysis passes plus a separate cross-file integration pass to avoid attention dilution</t>
  </si>
  <si>
    <t xml:space="preserve">After the slice reviews, one pass reads all 60 questions of a paper and one pass reads the stems of all five papers by task statement. They look for repeated scenes, repeated wrong options and terms that differ between slices.</t>
  </si>
  <si>
    <t xml:space="preserve">1.6-S3</t>
  </si>
  <si>
    <t xml:space="preserve">Decomposing open-ended tasks (e.g., "add comprehensive tests to a legacy codebase") by first mapping structure, identifying high-impact areas, then creating a prioritized plan that adapts as dependencies are discovered</t>
  </si>
  <si>
    <t xml:space="preserve">Before the first batch: measure the 12 sample questions (stem length, option length, punctuation), list the ways a question can fail, and rank the task statements by blueprint weight. Then plan the batches.</t>
  </si>
  <si>
    <t xml:space="preserve">Task statement 1.7: Manage session state, resumption, and forking</t>
  </si>
  <si>
    <t xml:space="preserve">1.7-K1</t>
  </si>
  <si>
    <t xml:space="preserve">Named session resumption using --resume \&lt;session-name\&gt; to continue a specific prior conversation</t>
  </si>
  <si>
    <t xml:space="preserve">One named session for each line of work (for example generation, tell audit, portal review). The next day continues it by name, next to state files that hold the facts.</t>
  </si>
  <si>
    <t xml:space="preserve">1.7-K2</t>
  </si>
  <si>
    <t xml:space="preserve">fork_session for creating independent branches from a shared analysis baseline to explore divergent approaches</t>
  </si>
  <si>
    <t xml:space="preserve">From one saved state (bank, rule list, prompt), start two branches with two prompt variants and compare the rejections by rule.</t>
  </si>
  <si>
    <t xml:space="preserve">1.7-K3</t>
  </si>
  <si>
    <t xml:space="preserve">The importance of informing the agent about changes to previously analyzed files when resuming sessions after code modifications</t>
  </si>
  <si>
    <t xml:space="preserve">When a fact or a file changes, the coordinator lists each file and brief that uses it and updates them in the same step. A continued chat first reads a change list.</t>
  </si>
  <si>
    <t xml:space="preserve">1.7-K4</t>
  </si>
  <si>
    <t xml:space="preserve">Why starting a new session with a structured summary is more reliable than resuming with stale tool results</t>
  </si>
  <si>
    <t xml:space="preserve">Each work day starts a new session from one state file that code updates: counts from the bank, the rule list with a version, open defects, the next step, the place of the prompts and the code.</t>
  </si>
  <si>
    <t xml:space="preserve">1.7-S1</t>
  </si>
  <si>
    <t xml:space="preserve">Using --resume with session names to continue named investigation sessions across work sessions</t>
  </si>
  <si>
    <t xml:space="preserve">Named sessions for the lines of work that need a person in the loop, for example the tell audit or an owner ruling. The batch work runs as scripts and needs no session.</t>
  </si>
  <si>
    <t xml:space="preserve">1.7-S2</t>
  </si>
  <si>
    <t xml:space="preserve">Using fork_session to create parallel exploration branches (e.g., comparing two testing strategies or refactoring approaches from a shared codebase analysis)</t>
  </si>
  <si>
    <t xml:space="preserve">Two branches from one frozen bank: the full list of banked stems against the list for one task statement. Same slices, same rules, one table of rejections by rule.</t>
  </si>
  <si>
    <t xml:space="preserve">1.7-S3</t>
  </si>
  <si>
    <t xml:space="preserve">Choosing between session resumption (when prior context is mostly valid) and starting fresh with injected summaries (when prior tool results are stale)</t>
  </si>
  <si>
    <t xml:space="preserve">A written rule: continue a session only inside one batch or one review round. Start a new one from the state file for each new batch, each new day and each change of the rules.</t>
  </si>
  <si>
    <t xml:space="preserve">1.7-S4</t>
  </si>
  <si>
    <t xml:space="preserve">Informing a resumed session about specific file changes for targeted re-analysis rather than requiring full re-exploration</t>
  </si>
  <si>
    <t xml:space="preserve">Each change of a rule gets a line: which papers were reviewed before the change. Those papers get one pass for that rule only.</t>
  </si>
  <si>
    <t xml:space="preserve">Domain 2: Tool Design &amp; MCP Integration</t>
  </si>
  <si>
    <t xml:space="preserve">Task statement 2.1: Design effective tool interfaces with clear descriptions and boundaries</t>
  </si>
  <si>
    <t xml:space="preserve">2.1-K1</t>
  </si>
  <si>
    <t xml:space="preserve">Tool descriptions as the primary mechanism LLMs use for tool selection; minimal descriptions lead to unreliable selection among similar tools</t>
  </si>
  <si>
    <t xml:space="preserve">Own helper tools (read one guide section, read one banked question, check one question), each with a description of three or four sentences that says what it returns and when to use it.</t>
  </si>
  <si>
    <t xml:space="preserve">2.1-K2</t>
  </si>
  <si>
    <t xml:space="preserve">The importance of including input formats, example queries, edge cases, and boundary explanations in tool descriptions</t>
  </si>
  <si>
    <t xml:space="preserve">One tool for each return (`submit_items`, `record_verdict`). Each field has a description with its format, its allowed values, one example and its limit: for example, `trap` is one of seven labels or null.</t>
  </si>
  <si>
    <t xml:space="preserve">2.1-K3</t>
  </si>
  <si>
    <t xml:space="preserve">How ambiguous or overlapping tool descriptions cause misrouting (e.g., analyze_content vs analyze_document with near-identical descriptions)</t>
  </si>
  <si>
    <t xml:space="preserve">Each source that an agent can pick has a name and one line that tell it apart from the similar one: "guide, complete, the authority" and "guide, short copy, no task statements".</t>
  </si>
  <si>
    <t xml:space="preserve">2.1-K4</t>
  </si>
  <si>
    <t xml:space="preserve">The impact of system prompt wording on tool selection: keyword-sensitive instructions can create unintended tool associations</t>
  </si>
  <si>
    <t xml:space="preserve">Keep the exact wording. After each run, record which tools the agent called and which files it wrote.</t>
  </si>
  <si>
    <t xml:space="preserve">2.1-S1</t>
  </si>
  <si>
    <t xml:space="preserve">Writing tool descriptions that clearly differentiate each tool's purpose, expected inputs, outputs, and when to use it versus similar alternatives</t>
  </si>
  <si>
    <t xml:space="preserve">A short description for each helper of the pipeline: what it is for, the input, the output, and when to use it and not the similar one. The description stays with the helper, so each brief does not repeat it.</t>
  </si>
  <si>
    <t xml:space="preserve">2.1-S2</t>
  </si>
  <si>
    <t xml:space="preserve">Renaming tools and updating descriptions to eliminate functional overlap (e.g., renaming analyze_content to extract_web_results with a web-specific description)</t>
  </si>
  <si>
    <t xml:space="preserve">Rename the short copy so that its name says what it is, or remove it. Give the two `Claude Code in Action.md` files different names.</t>
  </si>
  <si>
    <t xml:space="preserve">2.1-S3</t>
  </si>
  <si>
    <t xml:space="preserve">Splitting generic tools into purpose-specific tools with defined input/output contracts (e.g., splitting a generic analyze_document into extract_data_points, summarize_content, and verify_claim_against_source)</t>
  </si>
  <si>
    <t xml:space="preserve">Three small commands with a fixed input and output. `guide_section &lt;task statement&gt;` returns the exact guide text. `banked_item &lt;number&gt;` returns one full question. `check_item &lt;file&gt; &lt;number&gt;` returns word counts, the length ratio and punctuation hits.</t>
  </si>
  <si>
    <t xml:space="preserve">2.1-S4</t>
  </si>
  <si>
    <t xml:space="preserve">Reviewing system prompts for keyword-sensitive instructions that might override well-written tool descriptions</t>
  </si>
  <si>
    <t xml:space="preserve">Before a round starts, a second agent reads each brief and lists each sentence that names or implies a tool. The coordinator confirms that each one is intended.</t>
  </si>
  <si>
    <t xml:space="preserve">Task statement 2.2: Implement structured error responses for MCP tools</t>
  </si>
  <si>
    <t xml:space="preserve">2.2-K1</t>
  </si>
  <si>
    <t xml:space="preserve">The MCP isError flag pattern for communicating tool failures back to the agent</t>
  </si>
  <si>
    <t xml:space="preserve">Each result file starts with a status: ok or failed. Code reads the status and counts the records before it accepts a run.</t>
  </si>
  <si>
    <t xml:space="preserve">2.2-K2</t>
  </si>
  <si>
    <t xml:space="preserve">The distinction between transient errors (timeouts, service unavailability), validation errors (invalid input), business errors (policy violations), and permission errors</t>
  </si>
  <si>
    <t xml:space="preserve">A fixed list of failure kinds for a run, each with its next step: not ready yet (wait and read again), bad format (ask again with the error), input missing (send the full input), refused by a rule (do not retry, log the gap).</t>
  </si>
  <si>
    <t xml:space="preserve">2.2-K3</t>
  </si>
  <si>
    <t xml:space="preserve">Why uniform error responses (generic "Operation failed") prevent the agent from making appropriate recovery decisions</t>
  </si>
  <si>
    <t xml:space="preserve">Each flag carries a reason code: could not check, second answer possible, weak wrong option, possible repeat. The answer key and the review packet show the code and the note of the verifier.</t>
  </si>
  <si>
    <t xml:space="preserve">2.2-K4</t>
  </si>
  <si>
    <t xml:space="preserve">The difference between retryable and non-retryable errors, and how returning structured metadata prevents wasted retry attempts</t>
  </si>
  <si>
    <t xml:space="preserve">Each reject record has a field `retry`: yes for a build fault, no for a repeat or for a fact that is not in the guide. Code sends only the yes records back to a generator, one time.</t>
  </si>
  <si>
    <t xml:space="preserve">2.2-S1</t>
  </si>
  <si>
    <t xml:space="preserve">Returning structured error metadata including errorCategory (transient/validation/permission), isRetryable boolean, and human-readable descriptions</t>
  </si>
  <si>
    <t xml:space="preserve">One failure object in each result format: kind, retry yes or no, a plain description, what the agent tried, what it did finish. The brief shows one example.</t>
  </si>
  <si>
    <t xml:space="preserve">2.2-S2</t>
  </si>
  <si>
    <t xml:space="preserve">Including retriable: false flags and customer-friendly explanations for business rule violations so the agent can communicate appropriately</t>
  </si>
  <si>
    <t xml:space="preserve">A reject for a rule reason carries `retry: no` and one plain sentence for the owner. The gap log and the answer key show that sentence.</t>
  </si>
  <si>
    <t xml:space="preserve">2.2-S3</t>
  </si>
  <si>
    <t xml:space="preserve">Implementing local error recovery within subagents for transient failures, propagating to the coordinator only errors that cannot be resolved locally along with partial results and what was attempted</t>
  </si>
  <si>
    <t xml:space="preserve">One brief line: if a read fails, try one more time. If it fails again, return a failure with what you tried and the questions that you did finish.</t>
  </si>
  <si>
    <t xml:space="preserve">2.2-S4</t>
  </si>
  <si>
    <t xml:space="preserve">Distinguishing between access failures (needing retry decisions) and valid empty results (representing successful queries with no matches)</t>
  </si>
  <si>
    <t xml:space="preserve">Code treats a missing verdict, a missing field and an empty file as a failure, not as a pass. Code builds a paper only when each question has a verdict that is present and joined by its ID.</t>
  </si>
  <si>
    <t xml:space="preserve">Task statement 2.3: Distribute tools appropriately across agents and configure tool choice</t>
  </si>
  <si>
    <t xml:space="preserve">2.3-K1</t>
  </si>
  <si>
    <t xml:space="preserve">The principle that giving an agent access to too many tools (e.g., 18 instead of 4-5) degrades tool selection reliability by increasing decision complexity</t>
  </si>
  <si>
    <t xml:space="preserve">In the design only</t>
  </si>
  <si>
    <t xml:space="preserve">A saved definition for each role with a short tool list: no tools for a generator and a verifier, a read tool and one write path for an editor and a reviewer.</t>
  </si>
  <si>
    <t xml:space="preserve">2.3-K2</t>
  </si>
  <si>
    <t xml:space="preserve">Why agents with tools outside their specialization tend to misuse them (e.g., a synthesis agent attempting web searches)</t>
  </si>
  <si>
    <t xml:space="preserve">A reviewer role with read tools only. An editor role that can write one result file. Code refuses a run that changed any other file.</t>
  </si>
  <si>
    <t xml:space="preserve">2.3-K3</t>
  </si>
  <si>
    <t xml:space="preserve">Scoped tool access: giving agents only the tools needed for their role, with limited cross-role tools for specific high-frequency needs</t>
  </si>
  <si>
    <t xml:space="preserve">Each role gets the tools of its job only. The verifier also gets one narrow lookup: the full text of one banked question by its number.</t>
  </si>
  <si>
    <t xml:space="preserve">2.3-K4</t>
  </si>
  <si>
    <t xml:space="preserve">tool_choice configuration options: "auto", "any", and forced tool selection ({"type": "tool", "name": "..."})</t>
  </si>
  <si>
    <t xml:space="preserve">A direct API call for each generator with one tool `submit_items` and a forced tool choice. The tool schema holds the 11 fields and the allowed values of `domain`, `trap` and `difficulty`.</t>
  </si>
  <si>
    <t xml:space="preserve">2.3-S1</t>
  </si>
  <si>
    <t xml:space="preserve">Restricting each subagent's tool set to those relevant to its role, preventing cross-specialization misuse</t>
  </si>
  <si>
    <t xml:space="preserve">A saved definition for each role with an allowed tool list: no tools for a generator and a verifier, read-only tools for a reviewer, one write path for an editor.</t>
  </si>
  <si>
    <t xml:space="preserve">2.3-S2</t>
  </si>
  <si>
    <t xml:space="preserve">Replacing generic tools with constrained alternatives (e.g., replacing fetch_url with load_document that validates document URLs)</t>
  </si>
  <si>
    <t xml:space="preserve">Code copies the guide text for the task statements of a slice into the packet, from a guide file with a checked hash. Then the agent needs no read of a guide file. Or one helper command returns guide text from the checked copy only.</t>
  </si>
  <si>
    <t xml:space="preserve">2.3-S3</t>
  </si>
  <si>
    <t xml:space="preserve">Providing scoped cross-role tools for high-frequency needs (e.g., a verify_fact tool for the synthesis agent) while routing complex cases through the coordinator</t>
  </si>
  <si>
    <t xml:space="preserve">Verifier: a lookup that returns the full text and the key of one banked question by its number. Editor and reviewer: one shared command that returns word counts, the length ratio and punctuation hits. A case that stays open still goes to the owner.</t>
  </si>
  <si>
    <t xml:space="preserve">2.3-S4</t>
  </si>
  <si>
    <t xml:space="preserve">Using tool_choice forced selection to ensure a specific tool is called first (e.g., forcing extract_metadata before enrichment tools), then processing subsequent steps in follow-up turns</t>
  </si>
  <si>
    <t xml:space="preserve">Turn 1 forces a tool `declare_scenes`: the banked scene, the own scene, what differs. Code checks the answers. Turn 2 writes the questions.</t>
  </si>
  <si>
    <t xml:space="preserve">2.3-S5</t>
  </si>
  <si>
    <t xml:space="preserve">Setting tool_choice: "any" to guarantee the model calls a tool rather than returning conversational text</t>
  </si>
  <si>
    <t xml:space="preserve">Each agent call has two tools, `submit_records` and `report_failure`, and the tool choice "any". A run returns records or a failure. It cannot return prose or nothing.</t>
  </si>
  <si>
    <t xml:space="preserve">Task statement 2.4: Integrate MCP servers into Claude Code and agent workflows</t>
  </si>
  <si>
    <t xml:space="preserve">2.4-K1</t>
  </si>
  <si>
    <t xml:space="preserve">MCP server scoping: project-level (.mcp.json) for shared team tooling vs user-level (~/.claude.json) for personal/experimental servers</t>
  </si>
  <si>
    <t xml:space="preserve">Does not fit</t>
  </si>
  <si>
    <t xml:space="preserve">none</t>
  </si>
  <si>
    <t xml:space="preserve">2.4-K2</t>
  </si>
  <si>
    <t xml:space="preserve">Environment variable expansion in .mcp.json (e.g., ${GITHUB_TOKEN}) for credential management without committing secrets</t>
  </si>
  <si>
    <t xml:space="preserve">2.4-K3</t>
  </si>
  <si>
    <t xml:space="preserve">That tools from all configured MCP servers are discovered at connection time and available simultaneously to the agent</t>
  </si>
  <si>
    <t xml:space="preserve">Before a round, the coordinator lists the servers and tools that a subagent gets, and turns off each one that the role does not need.</t>
  </si>
  <si>
    <t xml:space="preserve">2.4-K4</t>
  </si>
  <si>
    <t xml:space="preserve">MCP resources as a mechanism for exposing content catalogs (e.g., issue summaries, documentation hierarchies, database schemas) to reduce exploratory tool calls</t>
  </si>
  <si>
    <t xml:space="preserve">One index made by code before the agents start: each note title with its line range, each task statement with its guide text, each banked question with its number. Each agent gets the index and does not search for it.</t>
  </si>
  <si>
    <t xml:space="preserve">2.4-S1</t>
  </si>
  <si>
    <t xml:space="preserve">Configuring shared MCP servers in project-scoped .mcp.json with environment variable expansion for authentication tokens</t>
  </si>
  <si>
    <t xml:space="preserve">2.4-S2</t>
  </si>
  <si>
    <t xml:space="preserve">Configuring personal/experimental MCP servers in user-scoped ~/.claude.json</t>
  </si>
  <si>
    <t xml:space="preserve">2.4-S3</t>
  </si>
  <si>
    <t xml:space="preserve">Enhancing MCP tool descriptions to explain capabilities and outputs in detail, preventing the agent from preferring built-in tools (like Grep) over more capable MCP tools</t>
  </si>
  <si>
    <t xml:space="preserve">If the pipeline had its own tool for the guide, its description would say: returns the complete guide text for one task statement; use this tool and not a file read.</t>
  </si>
  <si>
    <t xml:space="preserve">2.4-S4</t>
  </si>
  <si>
    <t xml:space="preserve">Choosing existing community MCP servers over custom implementations for standard integrations (e.g., Jira), reserving custom servers for team-specific workflows</t>
  </si>
  <si>
    <t xml:space="preserve">2.4-S5</t>
  </si>
  <si>
    <t xml:space="preserve">Exposing content catalogs as MCP resources to give agents visibility into available data without requiring exploratory tool calls</t>
  </si>
  <si>
    <t xml:space="preserve">A read-only list of the bank: number, task statement, scenario, full stem, key. A second list of the 30 task statements with the exact guide text. A script or a resource returns one entry on request.</t>
  </si>
  <si>
    <t xml:space="preserve">Task statement 2.5: Select and apply built-in tools (Read, Write, Edit, Bash, Grep, Glob) effectively</t>
  </si>
  <si>
    <t xml:space="preserve">2.5-K1</t>
  </si>
  <si>
    <t xml:space="preserve">Grep for content search (searching file contents for patterns like function names, error messages, or import statements)</t>
  </si>
  <si>
    <t xml:space="preserve">Before the verifier runs, code searches the bank for each new stem and each new eliminating clause, by runs of 6 to 8 words. The hits go to the verifier with the full text.</t>
  </si>
  <si>
    <t xml:space="preserve">2.5-K2</t>
  </si>
  <si>
    <t xml:space="preserve">Glob for file path pattern matching (finding files by name or extension patterns)</t>
  </si>
  <si>
    <t xml:space="preserve">2.5-K3</t>
  </si>
  <si>
    <t xml:space="preserve">Read/Write for full file operations; Edit for targeted modifications using unique text matching</t>
  </si>
  <si>
    <t xml:space="preserve">One source of records. Each change goes into the record, with an anchor that occurs one time. Code builds each paper and each key again from the records.</t>
  </si>
  <si>
    <t xml:space="preserve">2.5-K4</t>
  </si>
  <si>
    <t xml:space="preserve">When Edit fails due to non-unique text matches, using Read + Write as a fallback for reliable file modifications</t>
  </si>
  <si>
    <t xml:space="preserve">For the bank: read all records, add the new ones in memory, check that each line parses, write the whole file under a new name, then swap the files.</t>
  </si>
  <si>
    <t xml:space="preserve">2.5-S1</t>
  </si>
  <si>
    <t xml:space="preserve">Selecting Grep for searching code content across a codebase (e.g., finding all callers of a function, locating error messages)</t>
  </si>
  <si>
    <t xml:space="preserve">Each time the list of features outside the guide grows, code searches all five papers for each name and gives the hits to the reviewer.</t>
  </si>
  <si>
    <t xml:space="preserve">2.5-S2</t>
  </si>
  <si>
    <t xml:space="preserve">Selecting Glob for finding files matching naming patterns (e.g., \*\*/\*.test.tsx)</t>
  </si>
  <si>
    <t xml:space="preserve">2.5-S3</t>
  </si>
  <si>
    <t xml:space="preserve">Using Read to load full file contents followed by Write when Edit cannot find unique anchor text</t>
  </si>
  <si>
    <t xml:space="preserve">Each change to the bank: read all records, change them in memory, check each line, write the whole file. Code builds the papers and the keys from the bank. Nobody edits them.</t>
  </si>
  <si>
    <t xml:space="preserve">2.5-S4</t>
  </si>
  <si>
    <t xml:space="preserve">Building codebase understanding incrementally: starting with Grep to find entry points, then using Read to follow imports and trace flows, rather than reading all files upfront</t>
  </si>
  <si>
    <t xml:space="preserve">2.5-S5</t>
  </si>
  <si>
    <t xml:space="preserve">Tracing function usage across wrapper modules by first identifying all exported names, then searching for each name across the codebase</t>
  </si>
  <si>
    <t xml:space="preserve">Code extracts each code-like name from the 300 questions, then searches the guide for each name. A name with no hit in the guide goes to a reviewer.</t>
  </si>
  <si>
    <t xml:space="preserve">Domain 3: Claude Code Configuration &amp; Workflows</t>
  </si>
  <si>
    <t xml:space="preserve">Task statement 3.1: Configure CLAUDE.md files with appropriate hierarchy, scoping, and modular organization</t>
  </si>
  <si>
    <t xml:space="preserve">3.1-K1</t>
  </si>
  <si>
    <t xml:space="preserve">The CLAUDE.md configuration hierarchy: user-level (~/.claude/CLAUDE.md), project-level (.claude/CLAUDE.md or root CLAUDE.md), and directory-level (subdirectory CLAUDE.md files)</t>
  </si>
  <si>
    <t xml:space="preserve">One project rules file that each session and each agent loads without a prompt line: the guide wins, no feature that the guide does not name, the question format, never change an answer letter. Rules for one round go in a file for that folder.</t>
  </si>
  <si>
    <t xml:space="preserve">3.1-K2</t>
  </si>
  <si>
    <t xml:space="preserve">That user-level settings apply only to that user—instructions in ~/.claude/CLAUDE.md are not shared with teammates via version control</t>
  </si>
  <si>
    <t xml:space="preserve">Keep each rule, prompt and script in the project folder under version control. Keep nothing that an agent or a later session needs in a place that only one session can read.</t>
  </si>
  <si>
    <t xml:space="preserve">3.1-K3</t>
  </si>
  <si>
    <t xml:space="preserve">The @import syntax for referencing external files to keep CLAUDE.md modular (e.g., importing specific standards files relevant to each package)</t>
  </si>
  <si>
    <t xml:space="preserve">One file holds each shared list, for example the features of ruling 1. Each brief refers to it. A new entry goes in one place, and each agent reads the current list.</t>
  </si>
  <si>
    <t xml:space="preserve">3.1-K4</t>
  </si>
  <si>
    <t xml:space="preserve">.claude/rules/ directory for organizing topic-specific rule files as an alternative to a monolithic CLAUDE.md</t>
  </si>
  <si>
    <t xml:space="preserve">One focused file for each rule topic: scope and owner rulings, question format, review criteria, output shapes. Each run loads all of them.</t>
  </si>
  <si>
    <t xml:space="preserve">3.1-S1</t>
  </si>
  <si>
    <t xml:space="preserve">Diagnosing configuration hierarchy issues (e.g., a new team member not receiving instructions because they're in user-level rather than project-level configuration)</t>
  </si>
  <si>
    <t xml:space="preserve">When an agent does not follow a rule, first check where the rule lives and whether this run loaded it. Do this before you make the rule text stronger.</t>
  </si>
  <si>
    <t xml:space="preserve">3.1-S2</t>
  </si>
  <si>
    <t xml:space="preserve">Using @import to selectively include relevant standards files in each package's CLAUDE.md based on maintainer domain knowledge</t>
  </si>
  <si>
    <t xml:space="preserve">Each role file takes in only the rule files that it needs, by reference: a generator takes scope and format rules, a verifier takes the criteria, an editor takes both.</t>
  </si>
  <si>
    <t xml:space="preserve">3.1-S3</t>
  </si>
  <si>
    <t xml:space="preserve">Splitting large CLAUDE.md files into focused topic-specific files in .claude/rules/ (e.g., testing.md, api-conventions.md, deployment.md)</t>
  </si>
  <si>
    <t xml:space="preserve">Take the rules out of file 06 into focused files: scope, question format, generator rules, checker criteria C1 to C15, output shapes. File 06 stays a design and a log.</t>
  </si>
  <si>
    <t xml:space="preserve">3.1-S4</t>
  </si>
  <si>
    <t xml:space="preserve">Using the /memory command to verify which memory files are loaded and diagnose inconsistent behavior across sessions</t>
  </si>
  <si>
    <t xml:space="preserve">Each run writes a record of the rule files, the inputs and the full prompt that it loaded. When two runs behave in different ways, compare the two records.</t>
  </si>
  <si>
    <t xml:space="preserve">Task statement 3.2: Create and configure custom slash commands and skills</t>
  </si>
  <si>
    <t xml:space="preserve">3.2-K1</t>
  </si>
  <si>
    <t xml:space="preserve">Project-scoped commands in .claude/commands/ (shared via version control) vs user-scoped commands in ~/.claude/commands/ (personal)</t>
  </si>
  <si>
    <t xml:space="preserve">One saved, named prompt file in the project for each repeated step: generate a batch, verify a batch, review a slice, edit a slice, fix a list. The files are under version control.</t>
  </si>
  <si>
    <t xml:space="preserve">3.2-K2</t>
  </si>
  <si>
    <t xml:space="preserve">Skills in .claude/skills/ with SKILL.md files that support frontmatter configuration including context: fork, allowed-tools, and argument-hint</t>
  </si>
  <si>
    <t xml:space="preserve">One skill for each repeated step, with its settings in the file: run in a separate context, the tools it may use, and the arguments it needs (mock, scenario, slice).</t>
  </si>
  <si>
    <t xml:space="preserve">3.2-K3</t>
  </si>
  <si>
    <t xml:space="preserve">The context: fork frontmatter option for running skills in an isolated sub-agent context, preventing skill outputs from polluting the main conversation</t>
  </si>
  <si>
    <t xml:space="preserve">3.2-K4</t>
  </si>
  <si>
    <t xml:space="preserve">Personal skill customization: creating personal variants in ~/.claude/skills/ with different names to avoid affecting teammates</t>
  </si>
  <si>
    <t xml:space="preserve">3.2-S1</t>
  </si>
  <si>
    <t xml:space="preserve">Creating project-scoped slash commands in .claude/commands/ for team-wide availability via version control</t>
  </si>
  <si>
    <t xml:space="preserve">A command file for each repeated step, with the mock, scenario and slice as arguments. The same file starts run 1 and run 24, and a change to it is a recorded change.</t>
  </si>
  <si>
    <t xml:space="preserve">3.2-S2</t>
  </si>
  <si>
    <t xml:space="preserve">Using context: fork to isolate skills that produce verbose output (e.g., codebase analysis) or exploratory context (e.g., brainstorming alternatives) from the main session</t>
  </si>
  <si>
    <t xml:space="preserve">3.2-S3</t>
  </si>
  <si>
    <t xml:space="preserve">Configuring allowed-tools in skill frontmatter to restrict tool access during skill execution (e.g., limiting to file write operations to prevent destructive actions)</t>
  </si>
  <si>
    <t xml:space="preserve">The file of the review step allows read tools and one write path. The file of the generate step allows no tools. The limit is a setting, not a sentence.</t>
  </si>
  <si>
    <t xml:space="preserve">3.2-S4</t>
  </si>
  <si>
    <t xml:space="preserve">Using argument-hint frontmatter to prompt developers for required parameters when they invoke the skill without arguments</t>
  </si>
  <si>
    <t xml:space="preserve">Each saved step states its required arguments (mock, scenario, slice file, result path) and stops with a clear message when one is missing.</t>
  </si>
  <si>
    <t xml:space="preserve">3.2-S5</t>
  </si>
  <si>
    <t xml:space="preserve">Choosing between skills (on-demand invocation for task-specific workflows) and CLAUDE.md (always-loaded universal standards)</t>
  </si>
  <si>
    <t xml:space="preserve">Rules that hold for every agent go in one standing file: the guide wins, the owner rulings, never change an answer letter. The steps of one role go in a file that the role calls when it runs.</t>
  </si>
  <si>
    <t xml:space="preserve">Task statement 3.3: Apply path-specific rules for conditional convention loading</t>
  </si>
  <si>
    <t xml:space="preserve">3.3-K1</t>
  </si>
  <si>
    <t xml:space="preserve">.claude/rules/ files with YAML frontmatter paths fields containing glob patterns for conditional rule activation</t>
  </si>
  <si>
    <t xml:space="preserve">A rule file with a path pattern for each kind of file: the bank file (one record on one line, allowed values), the paper files (question format), the Mock 5 slices (rule R12).</t>
  </si>
  <si>
    <t xml:space="preserve">3.3-K2</t>
  </si>
  <si>
    <t xml:space="preserve">How path-scoped rules load only when editing matching files, reducing irrelevant context and token usage</t>
  </si>
  <si>
    <t xml:space="preserve">A rule for one kind of file loads only when an agent works on that kind. A reviewer of Mock 2 does not load the rule for two-answer questions.</t>
  </si>
  <si>
    <t xml:space="preserve">3.3-K3</t>
  </si>
  <si>
    <t xml:space="preserve">The advantage of glob-pattern rules over directory-level CLAUDE.md files for conventions that span multiple directories (e.g., test files spread throughout a codebase)</t>
  </si>
  <si>
    <t xml:space="preserve">One rule with a pattern such as `_work/**/*.json` holds the field names of a question record for each work folder. A schema that code checks does the same job better.</t>
  </si>
  <si>
    <t xml:space="preserve">3.3-S1</t>
  </si>
  <si>
    <t xml:space="preserve">Creating .claude/rules/ files with YAML frontmatter path scoping (e.g., paths: ["terraform/\*\*/\*"]) so rules load only when editing matching files</t>
  </si>
  <si>
    <t xml:space="preserve">`paths: ["Mocks/item-bank.jsonl"]`: one record on one line, end with a newline, use the allowed values. The rule loads when an agent edits the bank.</t>
  </si>
  <si>
    <t xml:space="preserve">3.3-S2</t>
  </si>
  <si>
    <t xml:space="preserve">Using glob patterns in path-specific rules to apply conventions to files by type regardless of directory location (e.g., \*\*/\*.test.tsx for all test files)</t>
  </si>
  <si>
    <t xml:space="preserve">`**/Mock *.md` and `**/*Answer Key.md`: keep the warning line of each flagged question. `**/*.jsonl`: one record on one line.</t>
  </si>
  <si>
    <t xml:space="preserve">3.3-S3</t>
  </si>
  <si>
    <t xml:space="preserve">Choosing path-specific rules over subdirectory CLAUDE.md files when conventions must apply to files spread across the codebase</t>
  </si>
  <si>
    <t xml:space="preserve">If the question rules must hold for each copy of a paper in any folder, use one rule with a file pattern and not one rules file in each folder.</t>
  </si>
  <si>
    <t xml:space="preserve">Task statement 3.4: Determine when to use plan mode vs direct execution</t>
  </si>
  <si>
    <t xml:space="preserve">3.4-K1</t>
  </si>
  <si>
    <t xml:space="preserve">Plan mode is designed for complex tasks involving large-scale changes, multiple valid approaches, architectural decisions, and multi-file modifications</t>
  </si>
  <si>
    <t xml:space="preserve">Before each large phase, a short plan that the owner accepts: scope, rules, order of steps, checks. The status changes from "in design" to "accepted" before the first run.</t>
  </si>
  <si>
    <t xml:space="preserve">3.4-K2</t>
  </si>
  <si>
    <t xml:space="preserve">Direct execution is appropriate for simple, well-scoped changes (e.g., adding a single validation check to one function)</t>
  </si>
  <si>
    <t xml:space="preserve">Keep direct work for a fix with one clear target. For a change to many questions, write the rules and the checks first.</t>
  </si>
  <si>
    <t xml:space="preserve">3.4-K3</t>
  </si>
  <si>
    <t xml:space="preserve">Plan mode enables safe codebase exploration and design before committing to changes, preventing costly rework</t>
  </si>
  <si>
    <t xml:space="preserve">Measure the guide's 12 samples and run a small pilot before the first full batch, not after Mock 3. In September, review first and write the rubric before any rewrite.</t>
  </si>
  <si>
    <t xml:space="preserve">3.4-K4</t>
  </si>
  <si>
    <t xml:space="preserve">The Explore subagent for isolating verbose discovery output and returning summaries to preserve main conversation context</t>
  </si>
  <si>
    <t xml:space="preserve">3.4-S1</t>
  </si>
  <si>
    <t xml:space="preserve">Selecting plan mode for tasks with architectural implications (e.g., microservice restructuring, library migrations affecting 45+ files, choosing between integration approaches with different infrastructure requirements)</t>
  </si>
  <si>
    <t xml:space="preserve">Treat the September review as a design task: agree the rounds, the rubric, the rulings and the output format with the owner before the first editor run.</t>
  </si>
  <si>
    <t xml:space="preserve">3.4-S2</t>
  </si>
  <si>
    <t xml:space="preserve">Selecting direct execution for well-understood changes with clear scope (e.g., a single-file bug fix with a clear stack trace, adding a date validation conditional)</t>
  </si>
  <si>
    <t xml:space="preserve">Before a direct fix of a surface pattern, measure the pattern on the guide's samples and on all papers. Before a change to many questions, write the rubric and the checks first.</t>
  </si>
  <si>
    <t xml:space="preserve">3.4-S3</t>
  </si>
  <si>
    <t xml:space="preserve">Using the Explore subagent for verbose discovery phases to prevent context window exhaustion during multi-phase tasks</t>
  </si>
  <si>
    <t xml:space="preserve">3.4-S4</t>
  </si>
  <si>
    <t xml:space="preserve">Combining plan mode for investigation with direct execution for implementation (e.g., planning a library migration, then executing the planned approach)</t>
  </si>
  <si>
    <t xml:space="preserve">Close the plan before the first full run: rules, checks, test set. Then run. A new rule after that is a recorded change to the plan.</t>
  </si>
  <si>
    <t xml:space="preserve">Task statement 3.5: Apply iterative refinement techniques for progressive improvement</t>
  </si>
  <si>
    <t xml:space="preserve">3.5-K1</t>
  </si>
  <si>
    <t xml:space="preserve">Concrete input/output examples as the most effective way to communicate expected transformations when prose descriptions are interpreted inconsistently</t>
  </si>
  <si>
    <t xml:space="preserve">From run 1, each generator prompt has two or three guide samples as the model of form and level. Each editor brief has two or three pairs of a question before and after a correct edit.</t>
  </si>
  <si>
    <t xml:space="preserve">3.5-K2</t>
  </si>
  <si>
    <t xml:space="preserve">Test-driven iteration: writing test suites first, then iterating by sharing test failures to guide progressive improvement</t>
  </si>
  <si>
    <t xml:space="preserve">Before the first batch: a fixed set of questions with known verdicts for the verifier, and code that measures each batch against the guide's 12 samples. Each failed test goes back to the generator or to the rule writer.</t>
  </si>
  <si>
    <t xml:space="preserve">3.5-K3</t>
  </si>
  <si>
    <t xml:space="preserve">The interview pattern: having Claude ask questions to surface considerations the developer may not have anticipated before implementing</t>
  </si>
  <si>
    <t xml:space="preserve">Before the first run, the assistant asks the owner a short list of questions and records each answer: answer formats, what "hard" means, which features a wrong option may use, how often one type of wrong option may repeat.</t>
  </si>
  <si>
    <t xml:space="preserve">3.5-K4</t>
  </si>
  <si>
    <t xml:space="preserve">When to provide all issues in a single message (interacting problems) versus fixing them sequentially (independent problems)</t>
  </si>
  <si>
    <t xml:space="preserve">When a new defect appears, give the generator one message with the full, current rule set and the level target. Then a fix for one pattern does not move the defect to another.</t>
  </si>
  <si>
    <t xml:space="preserve">3.5-S1</t>
  </si>
  <si>
    <t xml:space="preserve">Providing 2-3 concrete input/output examples to clarify transformation requirements when natural language descriptions produce inconsistent results</t>
  </si>
  <si>
    <t xml:space="preserve">Two or three guide samples in each generator prompt from run 1. Two or three questions with the correct verdict and reason in each verifier prompt. Two or three pairs, before and after, in each editor brief.</t>
  </si>
  <si>
    <t xml:space="preserve">3.5-S2</t>
  </si>
  <si>
    <t xml:space="preserve">Writing test suites covering expected behavior, edge cases, and performance requirements before implementation, then iterating by sharing test failures</t>
  </si>
  <si>
    <t xml:space="preserve">Before run 1: code tests for form (stem length, option length, punctuation, record fields) taken from the guide's 12 samples, edge cases such as a two-answer question, and a set of questions with known verdicts for the verifier.</t>
  </si>
  <si>
    <t xml:space="preserve">3.5-S3</t>
  </si>
  <si>
    <t xml:space="preserve">Using the interview pattern to surface design considerations (e.g., cache invalidation strategies, failure modes) before implementing solutions in unfamiliar domains</t>
  </si>
  <si>
    <t xml:space="preserve">Before the build, the assistant interviews the owner on the unknowns of question writing: formats, level, allowed types of wrong option, limits on repeats, how the owner will check a sample. The design records each answer.</t>
  </si>
  <si>
    <t xml:space="preserve">3.5-S4</t>
  </si>
  <si>
    <t xml:space="preserve">Providing specific test cases with example input and expected output to fix edge case handling (e.g., null values in migration scripts)</t>
  </si>
  <si>
    <t xml:space="preserve">For each edge case, a small case file: the input question and the expected verdict or the expected rewrite. Example: a question with commas in the key, expected verdict pass.</t>
  </si>
  <si>
    <t xml:space="preserve">3.5-S5</t>
  </si>
  <si>
    <t xml:space="preserve">Addressing multiple interacting issues in a single detailed message when fixes interact, versus sequential iteration for independent issues</t>
  </si>
  <si>
    <t xml:space="preserve">One message to the generator with all linked surface rules at one time: length, punctuation, commas, level. In September, one edit round after the full review, not a rewrite before it.</t>
  </si>
  <si>
    <t xml:space="preserve">Task statement 3.6: Integrate Claude Code into CI/CD pipelines</t>
  </si>
  <si>
    <t xml:space="preserve">3.6-K1</t>
  </si>
  <si>
    <t xml:space="preserve">The -p (or --print) flag for running Claude Code in non-interactive mode in automated pipelines</t>
  </si>
  <si>
    <t xml:space="preserve">A script in the project starts each generator, verifier, editor and reviewer run with `claude -p` and a saved prompt file. A batch can run again with no chat session.</t>
  </si>
  <si>
    <t xml:space="preserve">3.6-K2</t>
  </si>
  <si>
    <t xml:space="preserve">--output-format json and --json-schema CLI flags for enforcing structured output in CI contexts</t>
  </si>
  <si>
    <t xml:space="preserve">One JSON schema file for each record type. Each agent run must return output that passes it (for example `claude -p --output-format json --json-schema`), and code refuses a record that does not pass.</t>
  </si>
  <si>
    <t xml:space="preserve">3.6-K3</t>
  </si>
  <si>
    <t xml:space="preserve">CLAUDE.md as the mechanism for providing project context (testing standards, fixture conventions, review criteria) to CI-invoked Claude Code</t>
  </si>
  <si>
    <t xml:space="preserve">One project file with the scope rule, the question format and the checker criteria. Each run loads it without a prompt line. It stays with the pipeline code.</t>
  </si>
  <si>
    <t xml:space="preserve">3.6-K4</t>
  </si>
  <si>
    <t xml:space="preserve">Session context isolation: why the same Claude session that generated code is less effective at reviewing its own changes compared to an independent review instance</t>
  </si>
  <si>
    <t xml:space="preserve">Join each verdict to its question by an ID, and let code refuse a paper with a question that has no verdict. Give the reviewer the question, not the editor's notes. A separate instance also checks the assembly output.</t>
  </si>
  <si>
    <t xml:space="preserve">3.6-S1</t>
  </si>
  <si>
    <t xml:space="preserve">Running Claude Code in CI with the -p flag to prevent interactive input hangs</t>
  </si>
  <si>
    <t xml:space="preserve">If a script or a CI job starts a review of new questions, it calls `claude -p` with the saved brief, so the job cannot wait for input.</t>
  </si>
  <si>
    <t xml:space="preserve">3.6-S2</t>
  </si>
  <si>
    <t xml:space="preserve">Using --output-format json with --json-schema to produce machine-parseable structured findings for automated posting as inline PR comments</t>
  </si>
  <si>
    <t xml:space="preserve">Each run returns its findings under a JSON schema, with the question ID in each finding. Code checks each record against the schema before the next step uses it, and stops on a field that is missing or wrong.</t>
  </si>
  <si>
    <t xml:space="preserve">3.6-S3</t>
  </si>
  <si>
    <t xml:space="preserve">Including prior review findings in context when re-running reviews after new commits, instructing Claude to report only new or still-unaddressed issues to avoid duplicate comments</t>
  </si>
  <si>
    <t xml:space="preserve">Each second review gets the earlier finding for each question and one rule: say if it is resolved, then report only new problems.</t>
  </si>
  <si>
    <t xml:space="preserve">3.6-S4</t>
  </si>
  <si>
    <t xml:space="preserve">Providing existing test files in context so test generation avoids suggesting duplicate scenarios already covered by the test suite</t>
  </si>
  <si>
    <t xml:space="preserve">Each generator gets the earlier questions for its own task statement with stem, key and scene. Code compares each new question with the full bank and with the guide's samples before it goes into the bank.</t>
  </si>
  <si>
    <t xml:space="preserve">3.6-S5</t>
  </si>
  <si>
    <t xml:space="preserve">Documenting testing standards, valuable test criteria, and available fixtures in CLAUDE.md to improve test generation quality and reduce low-value test output</t>
  </si>
  <si>
    <t xml:space="preserve">A standing file tells each generator and editor what a good question is, which patterns are accepted (commas) and which are not (em dash, long stems), and which materials exist (the 12 guide samples, the bank, file 04, the digests).</t>
  </si>
  <si>
    <t xml:space="preserve">Domain 4: Prompt Engineering &amp; Structured Output</t>
  </si>
  <si>
    <t xml:space="preserve">Task statement 4.1: Design prompts with explicit criteria to improve precision and reduce false positives</t>
  </si>
  <si>
    <t xml:space="preserve">4.1-K1</t>
  </si>
  <si>
    <t xml:space="preserve">The importance of explicit criteria over vague instructions (e.g., "flag comments only when claimed behavior contradicts actual code behavior" vs "check that comments are accurate")</t>
  </si>
  <si>
    <t xml:space="preserve">Each rule states its test and the evidence it needs, also C5 and R5 (a word-count limit from the start). The rubric is written before the first edit run.</t>
  </si>
  <si>
    <t xml:space="preserve">4.1-K2</t>
  </si>
  <si>
    <t xml:space="preserve">How general instructions like "be conservative" or "only report high-confidence findings" fail to improve precision compared to specific categorical criteria</t>
  </si>
  <si>
    <t xml:space="preserve">Replace "look harder" by a named test for flagged questions. A needs-review verdict names the rule that is in doubt and the fact that is missing.</t>
  </si>
  <si>
    <t xml:space="preserve">4.1-K3</t>
  </si>
  <si>
    <t xml:space="preserve">The impact of false positive rates on developer trust: high false positive categories undermine confidence in accurate categories</t>
  </si>
  <si>
    <t xml:space="preserve">The owner labels a sample of rejected and flagged questions. Code reports the share of wrong findings for each rule. A warning goes into an answer key only when its rule passes that check.</t>
  </si>
  <si>
    <t xml:space="preserve">4.1-S1</t>
  </si>
  <si>
    <t xml:space="preserve">Writing specific review criteria that define which issues to report (bugs, security) versus skip (minor style, local patterns) rather than relying on confidence-based filtering</t>
  </si>
  <si>
    <t xml:space="preserve">The verifier prompt holds a skip list (for example: the same rule in a new scene, commas in the key). A needs-review verdict must name the rule in doubt.</t>
  </si>
  <si>
    <t xml:space="preserve">4.1-S2</t>
  </si>
  <si>
    <t xml:space="preserve">Temporarily disabling high false-positive categories to restore developer trust while improving prompts for those categories</t>
  </si>
  <si>
    <t xml:space="preserve">When C5 gave wrong rejections, set its result to needs-review and keep the questions. Check the new wording of C5 on a sample. Then set it back to reject. Leave the warning line out of the answer keys until a labelled sample shows that the flag predicts a defect.</t>
  </si>
  <si>
    <t xml:space="preserve">4.1-S3</t>
  </si>
  <si>
    <t xml:space="preserve">Defining explicit severity criteria with concrete code examples for each severity level to achieve consistent classification</t>
  </si>
  <si>
    <t xml:space="preserve">Three levels in the rubric, each with one example question: blocker (two defensible answers, a fact that is not in the guide), major (a tell, a key that the stem gives away), minor (wording of an explanation). The route depends on the level.</t>
  </si>
  <si>
    <t xml:space="preserve">Task statement 4.2: Apply few-shot prompting to improve output consistency and quality</t>
  </si>
  <si>
    <t xml:space="preserve">4.2-K1</t>
  </si>
  <si>
    <t xml:space="preserve">Few-shot examples as the most effective technique for achieving consistently formatted, actionable output when detailed instructions alone produce inconsistent results</t>
  </si>
  <si>
    <t xml:space="preserve">Keep each prompt with its examples. Give an example to each role that showed uneven output: a filled question record for the generator, a filled verdict for the verifier.</t>
  </si>
  <si>
    <t xml:space="preserve">4.2-K2</t>
  </si>
  <si>
    <t xml:space="preserve">The role of few-shot examples in demonstrating ambiguous-case handling (e.g., tool selection for ambiguous requests, branch-level test coverage gaps)</t>
  </si>
  <si>
    <t xml:space="preserve">Two or three borderline pairs in the verifier prompt and in the review brief, each with the verdict and the reason. For example one pair that repeats a scene (reject) and one pair that tests the same rule in a new scene (accept).</t>
  </si>
  <si>
    <t xml:space="preserve">4.2-K3</t>
  </si>
  <si>
    <t xml:space="preserve">How few-shot examples enable the model to generalize judgment to novel patterns rather than matching only pre-specified cases</t>
  </si>
  <si>
    <t xml:space="preserve">Code compares each new stem and its options with the 12 guide samples. The verifier gets one more rule: reject a question that reuses the scene or the option set of a sample.</t>
  </si>
  <si>
    <t xml:space="preserve">4.2-K4</t>
  </si>
  <si>
    <t xml:space="preserve">The effectiveness of few-shot examples for reducing hallucination in extraction tasks (e.g., handling informal measurements, varied document structures)</t>
  </si>
  <si>
    <t xml:space="preserve">Each digest prompt holds two or three example excerpts with their citation: a bulleted list quoted line for line, a long command quoted in full, a cut marked with [...]. The generator prompt shows one `guide_bullet` that is an exact quote.</t>
  </si>
  <si>
    <t xml:space="preserve">4.2-S1</t>
  </si>
  <si>
    <t xml:space="preserve">Creating 2-4 targeted few-shot examples for ambiguous scenarios that show reasoning for why one action was chosen over plausible alternatives</t>
  </si>
  <si>
    <t xml:space="preserve">Keep the generator prompt on file with its two or three sample questions and their official explanations. Give the checkers two to four worked borderline cases with the reason for each verdict.</t>
  </si>
  <si>
    <t xml:space="preserve">4.2-S2</t>
  </si>
  <si>
    <t xml:space="preserve">Including few-shot examples that demonstrate specific desired output format (location, issue, severity, suggested fix) to achieve consistency</t>
  </si>
  <si>
    <t xml:space="preserve">One filled question record in the generator prompt (domain "D1", task_statement "1.3", trap "recency") and one with trap null. One filled finding record in each review brief.</t>
  </si>
  <si>
    <t xml:space="preserve">4.2-S3</t>
  </si>
  <si>
    <t xml:space="preserve">Providing few-shot examples distinguishing acceptable code patterns from genuine issues to reduce false positives while enabling generalization</t>
  </si>
  <si>
    <t xml:space="preserve">Each checker prompt holds two or three pairs: a question that looks like a defect and is acceptable, and one that is a real defect, with the reason. For example a calibrated-confidence key next to a self-reported confidence option.</t>
  </si>
  <si>
    <t xml:space="preserve">4.2-S4</t>
  </si>
  <si>
    <t xml:space="preserve">Using few-shot examples to demonstrate correct handling of varied document structures (inline citations vs bibliographies, methodology sections vs embedded details)</t>
  </si>
  <si>
    <t xml:space="preserve">Each digest prompt shows one correct excerpt with its citation for each source form: a note block, a lesson with headings, a doc page.</t>
  </si>
  <si>
    <t xml:space="preserve">4.2-S5</t>
  </si>
  <si>
    <t xml:space="preserve">Adding few-shot examples showing correct extraction from documents with varied formats to address empty/null extraction of required fields</t>
  </si>
  <si>
    <t xml:space="preserve">If a digest returned no source for material that a source held in another form, its prompt would get examples of a correct excerpt from each source form.</t>
  </si>
  <si>
    <t xml:space="preserve">Task statement 4.3: Enforce structured output using tool use and JSON schemas</t>
  </si>
  <si>
    <t xml:space="preserve">4.3-K1</t>
  </si>
  <si>
    <t xml:space="preserve">Tool use (tool_use) with JSON schemas as the most reliable approach for guaranteed schema-compliant structured output, eliminating JSON syntax errors</t>
  </si>
  <si>
    <t xml:space="preserve">Each generator and verifier call goes through the API with one tool. Its input schema is the record, with enums for domain, trap, difficulty and verdict. In the chat session a script could at least check each record against that schema before the record entered the bank.</t>
  </si>
  <si>
    <t xml:space="preserve">4.3-K2</t>
  </si>
  <si>
    <t xml:space="preserve">The distinction between tool_choice: "auto" (model may return text instead of calling a tool), "any" (model must call a tool but can choose which), and forced tool selection (model must call a specific named tool)</t>
  </si>
  <si>
    <t xml:space="preserve">With tool use, force the one record tool for a generator, so that it cannot answer in prose.</t>
  </si>
  <si>
    <t xml:space="preserve">4.3-K3</t>
  </si>
  <si>
    <t xml:space="preserve">That strict JSON schemas via tool use eliminate syntax errors but do not prevent semantic errors (e.g., line items that don't sum to total, values in wrong fields)</t>
  </si>
  <si>
    <t xml:space="preserve">Code checks after the format check: each verdict carries the ID of its question, each `guide_bullet` is found in the guide text, each `eliminating_clause` is found in the stem.</t>
  </si>
  <si>
    <t xml:space="preserve">4.3-K4</t>
  </si>
  <si>
    <t xml:space="preserve">Schema design considerations: required vs optional fields, enum fields with "other" + detail string patterns for extensible categories</t>
  </si>
  <si>
    <t xml:space="preserve">The trap field takes one label from the list or "other" plus `trap_detail`, and a separate `trap_note` holds the sentence. The list grows when a new level appears. The verdict record gets a written schema too.</t>
  </si>
  <si>
    <t xml:space="preserve">4.3-S1</t>
  </si>
  <si>
    <t xml:space="preserve">Defining extraction tools with JSON schemas as input parameters and extracting structured data from the tool_use response</t>
  </si>
  <si>
    <t xml:space="preserve">Own code calls the API with a tool `submit_question` whose input schema is the 11-field record, and a tool `submit_verdict` for the verifier. Code reads the tool input as the record.</t>
  </si>
  <si>
    <t xml:space="preserve">4.3-S2</t>
  </si>
  <si>
    <t xml:space="preserve">Setting tool_choice: "any" to guarantee structured output when multiple extraction schemas exist and the document type is unknown</t>
  </si>
  <si>
    <t xml:space="preserve">Two tools, `submit_question` and `report_failure`, with tool_choice "any". The generator must return one of the two records and cannot return prose or nothing.</t>
  </si>
  <si>
    <t xml:space="preserve">4.3-S3</t>
  </si>
  <si>
    <t xml:space="preserve">Forcing a specific tool with tool_choice: {"type": "tool", "name": "extract_metadata"} to ensure a particular extraction runs before enrichment steps</t>
  </si>
  <si>
    <t xml:space="preserve">First call: a forced tool returns the list of banked scenes for the slice, and code checks it. Second call: write the questions. Forced tool choice needs the API. In the chat session two agent runs in sequence give the same order.</t>
  </si>
  <si>
    <t xml:space="preserve">4.3-S4</t>
  </si>
  <si>
    <t xml:space="preserve">Designing schema fields as optional (nullable) when source documents may not contain the information, preventing the model from fabricating values to satisfy required fields</t>
  </si>
  <si>
    <t xml:space="preserve">`guide_bullet` becomes a list of exact quotes, and code checks each quote against the guide. An empty list with a reason is allowed, so that an answer with no bullet is visible.</t>
  </si>
  <si>
    <t xml:space="preserve">4.3-S5</t>
  </si>
  <si>
    <t xml:space="preserve">Adding enum values like "unclear" for ambiguous cases and "other" + detail fields for extensible categorization</t>
  </si>
  <si>
    <t xml:space="preserve">Each closed list gets "other" plus a detail field. Code counts the "other" values after each batch, and the coordinator adds the frequent ones to the list.</t>
  </si>
  <si>
    <t xml:space="preserve">4.3-S6</t>
  </si>
  <si>
    <t xml:space="preserve">Including format normalization rules in prompts alongside strict output schemas to handle inconsistent source formatting</t>
  </si>
  <si>
    <t xml:space="preserve">The generator prompt states each form ("D1", "1.3", one trap label). Code maps or rejects a record with another form and logs the change.</t>
  </si>
  <si>
    <t xml:space="preserve">Task statement 4.4: Implement validation, retry, and feedback loops for extraction quality</t>
  </si>
  <si>
    <t xml:space="preserve">4.4-K1</t>
  </si>
  <si>
    <t xml:space="preserve">Retry-with-error-feedback: appending specific validation errors to the prompt on retry to guide the model toward correction</t>
  </si>
  <si>
    <t xml:space="preserve">Each rejected question goes back to a generator one time, with the question, the rule that failed and the verifier's evidence. A new verifier checks the new version.</t>
  </si>
  <si>
    <t xml:space="preserve">4.4-K2</t>
  </si>
  <si>
    <t xml:space="preserve">The limits of retry: retries are ineffective when the required information is simply absent from the source document (vs format or structural errors)</t>
  </si>
  <si>
    <t xml:space="preserve">When a verifier note says that information is missing, the coordinator supplies the full banked stems for that task statement and runs the check again. It does not print a warning.</t>
  </si>
  <si>
    <t xml:space="preserve">4.4-K3</t>
  </si>
  <si>
    <t xml:space="preserve">Feedback loop design: tracking which code constructs trigger findings (detected_pattern field) to enable systematic analysis of dismissal patterns</t>
  </si>
  <si>
    <t xml:space="preserve">Each verdict has the fields `failed_rule` and `detected_pattern` (for example "self-reported confidence option", "feature not in the guide"). After each batch, code counts findings and overturned findings for each pattern.</t>
  </si>
  <si>
    <t xml:space="preserve">4.4-K4</t>
  </si>
  <si>
    <t xml:space="preserve">The difference between semantic validation errors (values don't sum, wrong field placement) and schema syntax errors (eliminated by tool use)</t>
  </si>
  <si>
    <t xml:space="preserve">Two code gates on each record. Format gate: the line parses, the fields exist, the values are in the lists. Meaning gate: counts agree, quotes are found in their source, the verdict joins by ID.</t>
  </si>
  <si>
    <t xml:space="preserve">4.4-S1</t>
  </si>
  <si>
    <t xml:space="preserve">Implementing follow-up requests that include the original document, the failed extraction, and specific validation errors for model self-correction</t>
  </si>
  <si>
    <t xml:space="preserve">In August: a follow-up prompt to a generator with the guide bullets of the slice, the rejected question and the verifier note. One time for each question.</t>
  </si>
  <si>
    <t xml:space="preserve">4.4-S2</t>
  </si>
  <si>
    <t xml:space="preserve">Identifying when retries will be ineffective (e.g., information exists only in an external document not provided) versus when they will succeed (format mismatches, structural output errors)</t>
  </si>
  <si>
    <t xml:space="preserve">Code sorts each failed or unsettled check by cause. Missing input: supply it and check again. Bad form or structure: send back with the findings. No source in the guide: drop and log the gap.</t>
  </si>
  <si>
    <t xml:space="preserve">4.4-S3</t>
  </si>
  <si>
    <t xml:space="preserve">Adding detected_pattern fields to structured findings to enable analysis of false positive patterns when developers dismiss findings</t>
  </si>
  <si>
    <t xml:space="preserve">A `detected_pattern` field in each verifier and reviewer finding. A field `overturned_by` when the owner or a later reviewer rejects the finding. Code reports the patterns with the most overturned findings.</t>
  </si>
  <si>
    <t xml:space="preserve">4.4-S4</t>
  </si>
  <si>
    <t xml:space="preserve">Designing self-correction validation flows: extracting "calculated_total" alongside "stated_total" to flag discrepancies, adding "conflict_detected" booleans for inconsistent source data</t>
  </si>
  <si>
    <t xml:space="preserve">Code gates after each run: records written equal records planned, verdicts equal questions and join by ID, each quoted clause is found in its stem, each `guide_bullet` is found in the guide. A mismatch sets a flag on the record.</t>
  </si>
  <si>
    <t xml:space="preserve">Task statement 4.5: Design efficient batch processing strategies</t>
  </si>
  <si>
    <t xml:space="preserve">4.5-K1</t>
  </si>
  <si>
    <t xml:space="preserve">The Message Batches API: 50% cost savings, up to 24-hour processing window, no guaranteed latency SLA</t>
  </si>
  <si>
    <t xml:space="preserve">A build on the API sends all generator requests of one paper as one batch at half the price, and the verifier requests as a second batch. Each rule change then costs up to 24 hours.</t>
  </si>
  <si>
    <t xml:space="preserve">4.5-K2</t>
  </si>
  <si>
    <t xml:space="preserve">Batch processing is appropriate for non-blocking, latency-tolerant workloads (overnight reports, weekly audits, nightly test generation) and inappropriate for blocking workflows (pre-merge checks)</t>
  </si>
  <si>
    <t xml:space="preserve">Sort the work by who waits. Pilots and fix rounds run live. The full generation run of a paper goes as a batch job while the owner sits the paper before it.</t>
  </si>
  <si>
    <t xml:space="preserve">4.5-K3</t>
  </si>
  <si>
    <t xml:space="preserve">The batch API does not support multi-turn tool calling within a single request (cannot execute tools mid-request and return results)</t>
  </si>
  <si>
    <t xml:space="preserve">For a batch run, each request holds the guide text of its slice and the banked stems, and returns the record as its answer. No request needs a tool call in the middle.</t>
  </si>
  <si>
    <t xml:space="preserve">4.5-K4</t>
  </si>
  <si>
    <t xml:space="preserve">custom_id fields for correlating batch request/response pairs</t>
  </si>
  <si>
    <t xml:space="preserve">Each question gets an ID when it is generated. The verifier returns that ID with its verdict. Code joins by ID and refuses a paper that has a question with no verdict.</t>
  </si>
  <si>
    <t xml:space="preserve">4.5-S1</t>
  </si>
  <si>
    <t xml:space="preserve">Matching API approach to workflow latency requirements: synchronous API for blocking pre-merge checks, batch API for overnight/weekly analysis</t>
  </si>
  <si>
    <t xml:space="preserve">A short table in the design: step, who waits for it, run mode. Live calls for pilots, fixes and owner rulings. A batch job for the full generation and for the first review of a finished paper.</t>
  </si>
  <si>
    <t xml:space="preserve">4.5-S2</t>
  </si>
  <si>
    <t xml:space="preserve">Calculating batch submission frequency based on SLA constraints (e.g., 4-hour windows to guarantee 30-hour SLA with 24-hour batch processing)</t>
  </si>
  <si>
    <t xml:space="preserve">Count back from each sitting date: one 24-hour window to generate, one to verify, one to replace rejected questions. With papers built and sat one or two days apart, the count shows that batch runs did not fit.</t>
  </si>
  <si>
    <t xml:space="preserve">4.5-S3</t>
  </si>
  <si>
    <t xml:space="preserve">Handling batch failures: resubmitting only failed documents (identified by custom_id) with appropriate modifications (e.g., chunking documents that exceeded context limits)</t>
  </si>
  <si>
    <t xml:space="preserve">After each batch, code lists the IDs of rejected questions and of empty slots. Only those go out again, with a change that fits the cause (for example the full banked stems for a doubt on C5).</t>
  </si>
  <si>
    <t xml:space="preserve">4.5-S4</t>
  </si>
  <si>
    <t xml:space="preserve">Using prompt refinement on a sample set before batch-processing large volumes to maximize first-pass success rates and reduce iterative resubmission costs</t>
  </si>
  <si>
    <t xml:space="preserve">Before each paper and before each new brief: run about 10 questions of one scenario, measure them, let the owner read them, change the prompt. Then start the full run.</t>
  </si>
  <si>
    <t xml:space="preserve">Task statement 4.6: Design multi-instance and multi-pass review architectures</t>
  </si>
  <si>
    <t xml:space="preserve">4.6-K1</t>
  </si>
  <si>
    <t xml:space="preserve">Self-review limitations: a model retains reasoning context from generation, making it less likely to question its own decisions in the same session</t>
  </si>
  <si>
    <t xml:space="preserve">A code gate or a separate agent checks each coordinator step that changes data: the verdict join, the assembly of a paper, the merge of edits, the final answer check.</t>
  </si>
  <si>
    <t xml:space="preserve">4.6-K2</t>
  </si>
  <si>
    <t xml:space="preserve">Independent review instances (without prior reasoning context) are more effective at catching subtle issues than self-review instructions or extended thinking</t>
  </si>
  <si>
    <t xml:space="preserve">The reviewer gets the question and its earlier version, not the editor's notes. Each verdict joins its question by an ID. Code refuses a paper with a question that has no verdict.</t>
  </si>
  <si>
    <t xml:space="preserve">4.6-K3</t>
  </si>
  <si>
    <t xml:space="preserve">Multi-pass review: splitting large reviews into per-file local analysis passes plus cross-file integration passes to avoid attention dilution and contradictory findings</t>
  </si>
  <si>
    <t xml:space="preserve">After the slice reviews, one pass on each whole paper and one across the five papers: code for tells and balance, an agent for repeated scenes and reused options. The paper-level pass runs before a paper is released.</t>
  </si>
  <si>
    <t xml:space="preserve">4.6-S1</t>
  </si>
  <si>
    <t xml:space="preserve">Using a second independent Claude instance to review generated code without the generator's reasoning context</t>
  </si>
  <si>
    <t xml:space="preserve">The second agent gets only the question, the guide and the rules. The notes of the writer stay out of its prompt. A paper is assembled only from questions with a joined verdict.</t>
  </si>
  <si>
    <t xml:space="preserve">4.6-S2</t>
  </si>
  <si>
    <t xml:space="preserve">Splitting large multi-file reviews into focused per-file passes for local issues plus separate integration passes for cross-file data flow analysis</t>
  </si>
  <si>
    <t xml:space="preserve">Two kinds of pass in the plan. Local: one slice, all rules for one question. Cross: one pass for each paper and one for the set, with full stems, for repeated scenes, reused options and tells.</t>
  </si>
  <si>
    <t xml:space="preserve">4.6-S3</t>
  </si>
  <si>
    <t xml:space="preserve">Running verification passes where the model self-reports confidence alongside each finding to enable calibrated review routing</t>
  </si>
  <si>
    <t xml:space="preserve">The owner labels about 30 questions with no verdict in view. Code compares the labels with the flags for each rule. The flag stays in the route only if it predicts a defect.</t>
  </si>
  <si>
    <t xml:space="preserve">Domain 5: Context Management &amp; Reliability</t>
  </si>
  <si>
    <t xml:space="preserve">Task statement 5.1: Manage conversation context to preserve critical information across long interactions</t>
  </si>
  <si>
    <t xml:space="preserve">5.1-K1</t>
  </si>
  <si>
    <t xml:space="preserve">Progressive summarization risks: condensing numerical values, percentages, dates, and customer-stated expectations into vague summaries</t>
  </si>
  <si>
    <t xml:space="preserve">Keep each count and each rule in one data file. Code writes the summaries and the handoff from that file, so a summary cannot differ from its rows. Code checks that each `guide_bullet` is an exact string of the guide.</t>
  </si>
  <si>
    <t xml:space="preserve">5.1-K2</t>
  </si>
  <si>
    <t xml:space="preserve">The "lost in the middle" effect: models reliably process information at the beginning and end of long inputs but may omit findings from middle sections</t>
  </si>
  <si>
    <t xml:space="preserve">Save each generator prompt. Code builds it in the fixed order and puts the stems of the same task statement at the top of the banked list.</t>
  </si>
  <si>
    <t xml:space="preserve">5.1-K3</t>
  </si>
  <si>
    <t xml:space="preserve">How tool results accumulate in context and consume tokens disproportionately to their relevance (e.g., 40+ fields per order lookup when only 5 are relevant)</t>
  </si>
  <si>
    <t xml:space="preserve">Budget by relevance, not by length: send the full stem and the key idea of each banked question of the same task statement, and no other stems.</t>
  </si>
  <si>
    <t xml:space="preserve">5.1-K4</t>
  </si>
  <si>
    <t xml:space="preserve">The importance of passing complete conversation history in subsequent API requests to maintain conversational coherence</t>
  </si>
  <si>
    <t xml:space="preserve">In a build on the API, a retry sends the first request, the rejected question and the reason of the verifier again in one message list.</t>
  </si>
  <si>
    <t xml:space="preserve">5.1-S1</t>
  </si>
  <si>
    <t xml:space="preserve">Extracting transactional facts (amounts, dates, order numbers, statuses) into a persistent "case facts" block included in each prompt, outside summarized history</t>
  </si>
  <si>
    <t xml:space="preserve">One fixed record for each question: ID, answer letter, task statement, exact guide bullet, verifier flag and reason. Code puts this record into each packet and refuses a packet without it.</t>
  </si>
  <si>
    <t xml:space="preserve">5.1-S2</t>
  </si>
  <si>
    <t xml:space="preserve">Extracting and persisting structured issue data (order IDs, amounts, statuses) into a separate context layer for multi-issue sessions</t>
  </si>
  <si>
    <t xml:space="preserve">Give each question an ID at generation. Keep verdict, reason and status in the bank under that ID. Code joins by ID and stops when a question has no verdict.</t>
  </si>
  <si>
    <t xml:space="preserve">5.1-S3</t>
  </si>
  <si>
    <t xml:space="preserve">Trimming verbose tool outputs to only relevant fields before they accumulate in context (e.g., keeping only return-relevant fields from order lookups)</t>
  </si>
  <si>
    <t xml:space="preserve">Trim by field, not by length: for each banked question of the same task statement send the full stem and the key idea. Drop all other task statements.</t>
  </si>
  <si>
    <t xml:space="preserve">5.1-S4</t>
  </si>
  <si>
    <t xml:space="preserve">Placing key findings summaries at the beginning of aggregated inputs and organizing detailed results with explicit section headers to mitigate position effects</t>
  </si>
  <si>
    <t xml:space="preserve">Put the stems of the same task statement under their own header at the top of the banked list, with one summary line of what is already taken.</t>
  </si>
  <si>
    <t xml:space="preserve">5.1-S5</t>
  </si>
  <si>
    <t xml:space="preserve">Requiring subagents to include metadata (dates, source locations, methodological context) in structured outputs to support accurate downstream synthesis</t>
  </si>
  <si>
    <t xml:space="preserve">Each record carries run ID, date, source link and date read. A flag carries its reason. Code rejects a record that lacks these fields.</t>
  </si>
  <si>
    <t xml:space="preserve">5.1-S6</t>
  </si>
  <si>
    <t xml:space="preserve">Modifying upstream agents to return structured data (key facts, citations, relevance scores) instead of verbose content and reasoning chains when downstream agents have limited context budgets</t>
  </si>
  <si>
    <t xml:space="preserve">Code checks each record against the schema before it enters the bank. Each digest also gives a short table of key facts with citations for each task statement, sized for a generator prompt.</t>
  </si>
  <si>
    <t xml:space="preserve">Task statement 5.2: Design effective escalation and ambiguity resolution patterns</t>
  </si>
  <si>
    <t xml:space="preserve">5.2-K1</t>
  </si>
  <si>
    <t xml:space="preserve">Appropriate escalation triggers: customer requests for a human, policy exceptions/gaps (not just complex cases), and inability to make meaningful progress</t>
  </si>
  <si>
    <t xml:space="preserve">Three named triggers in the verifier brief: a criterion that it cannot settle, a case that the rubric does not cover, and a second failed retry. Code holds each such question out of the paper until the owner or a new check decides.</t>
  </si>
  <si>
    <t xml:space="preserve">5.2-K2</t>
  </si>
  <si>
    <t xml:space="preserve">The distinction between escalating immediately when a customer explicitly demands it versus offering to resolve when the issue is straightforward</t>
  </si>
  <si>
    <t xml:space="preserve">5.2-K3</t>
  </si>
  <si>
    <t xml:space="preserve">Why sentiment-based escalation and self-reported confidence scores are unreliable proxies for actual case complexity</t>
  </si>
  <si>
    <t xml:space="preserve">The owner labels about 30 questions with no view of the AI verdict. Code compares the flags with the labels. The flag routes questions only if it separates good from bad; else a named unsettled criterion is the trigger.</t>
  </si>
  <si>
    <t xml:space="preserve">5.2-K4</t>
  </si>
  <si>
    <t xml:space="preserve">How multiple customer matches require clarification (requesting additional identifiers) rather than heuristic selection</t>
  </si>
  <si>
    <t xml:space="preserve">Each question and each banked stem has an ID. When a match is not clear, the verifier names the IDs that it needs, and the coordinator sends those full records for a second check.</t>
  </si>
  <si>
    <t xml:space="preserve">5.2-S1</t>
  </si>
  <si>
    <t xml:space="preserve">Adding explicit escalation criteria with few-shot examples to the system prompt demonstrating when to escalate versus resolve autonomously</t>
  </si>
  <si>
    <t xml:space="preserve">The reviewer brief lists the named triggers and shows three worked cases: settle alone, send to the owner, reject. Code refuses a confidence value that is not in the list.</t>
  </si>
  <si>
    <t xml:space="preserve">5.2-S2</t>
  </si>
  <si>
    <t xml:space="preserve">Honoring explicit customer requests for human agents immediately without first attempting investigation</t>
  </si>
  <si>
    <t xml:space="preserve">5.2-S3</t>
  </si>
  <si>
    <t xml:space="preserve">Acknowledging frustration while offering resolution when the issue is within the agent's capability, escalating only if the customer reiterates their preference</t>
  </si>
  <si>
    <t xml:space="preserve">5.2-S4</t>
  </si>
  <si>
    <t xml:space="preserve">Escalating when policy is ambiguous or silent on the customer's specific request (e.g., competitor price matching when policy only addresses own-site adjustments)</t>
  </si>
  <si>
    <t xml:space="preserve">A gap in the rules goes to the owner as one short question with the options and the sources. The answer goes into a rulings file with a date, and each brief quotes that file.</t>
  </si>
  <si>
    <t xml:space="preserve">5.2-S5</t>
  </si>
  <si>
    <t xml:space="preserve">Instructing the agent to ask for additional identifiers when tool results return multiple matches, rather than selecting based on heuristics</t>
  </si>
  <si>
    <t xml:space="preserve">The verifier brief says: when a banked stem may be the same scene and you cannot tell, return the bank IDs that you need. The coordinator sends those records and runs the check again.</t>
  </si>
  <si>
    <t xml:space="preserve">Task statement 5.3: Implement error propagation strategies across multi-agent systems</t>
  </si>
  <si>
    <t xml:space="preserve">5.3-K1</t>
  </si>
  <si>
    <t xml:space="preserve">Structured error context (failure type, attempted query, partial results, alternative approaches) as enabling intelligent coordinator recovery decisions</t>
  </si>
  <si>
    <t xml:space="preserve">Each agent result starts with a status record: type of failure, what it tried, how many questions it wrote, what it needs next. The coordinator reads this record, not the presence of a file.</t>
  </si>
  <si>
    <t xml:space="preserve">5.3-K2</t>
  </si>
  <si>
    <t xml:space="preserve">The distinction between access failures (timeouts needing retry decisions) and valid empty results (successful queries with no matches)</t>
  </si>
  <si>
    <t xml:space="preserve">Each run returns a status and a count of questions written. Code treats 0 bytes, a missing verdict, a missing field or a parse error as a failed run, never as an empty or clean result.</t>
  </si>
  <si>
    <t xml:space="preserve">5.3-K3</t>
  </si>
  <si>
    <t xml:space="preserve">Why generic error statuses ("search unavailable") hide valuable context from the coordinator</t>
  </si>
  <si>
    <t xml:space="preserve">Each flag carries the criterion and one sentence of reason through to the answer key and to the next reviewer.</t>
  </si>
  <si>
    <t xml:space="preserve">5.3-K4</t>
  </si>
  <si>
    <t xml:space="preserve">Why silently suppressing errors (returning empty results as success) or terminating entire workflows on single failures are both anti-patterns</t>
  </si>
  <si>
    <t xml:space="preserve">Code refuses a paper that holds a question with no accept verdict. Each rejected question stays in the bank with its reason. Each run ends with a gap list.</t>
  </si>
  <si>
    <t xml:space="preserve">5.3-S1</t>
  </si>
  <si>
    <t xml:space="preserve">Returning structured error context including failure type, what was attempted, partial results, and potential alternatives to enable coordinator recovery</t>
  </si>
  <si>
    <t xml:space="preserve">A fixed failure record in the output schema of each generator and verifier: type, what was tried, questions written so far, what to change.</t>
  </si>
  <si>
    <t xml:space="preserve">5.3-S2</t>
  </si>
  <si>
    <t xml:space="preserve">Distinguishing access failures from valid empty results in error reporting so the coordinator can make appropriate decisions</t>
  </si>
  <si>
    <t xml:space="preserve">The status of each run has three values: failed to run, ran and wrote nothing, ran and wrote N questions. Each verdict has the same three states.</t>
  </si>
  <si>
    <t xml:space="preserve">5.3-S3</t>
  </si>
  <si>
    <t xml:space="preserve">Having subagents implement local recovery for transient failures and only propagate errors they cannot resolve, including what was attempted and partial results</t>
  </si>
  <si>
    <t xml:space="preserve">Each generator run reads back its output file, counts the records and checks the fields. It tries one more time on a failure and then returns a failure record.</t>
  </si>
  <si>
    <t xml:space="preserve">5.3-S4</t>
  </si>
  <si>
    <t xml:space="preserve">Structuring synthesis output with coverage annotations indicating which findings are well-supported versus which topic areas have gaps due to unavailable sources</t>
  </si>
  <si>
    <t xml:space="preserve">Code writes a coverage table for each paper: the count of questions for each task statement, and the statements with none. The paper header shows it.</t>
  </si>
  <si>
    <t xml:space="preserve">Task statement 5.4: Manage context effectively in large codebase exploration</t>
  </si>
  <si>
    <t xml:space="preserve">5.4-K1</t>
  </si>
  <si>
    <t xml:space="preserve">Context degradation in extended sessions: models start giving inconsistent answers and referencing "typical patterns" rather than specific classes discovered earlier</t>
  </si>
  <si>
    <t xml:space="preserve">After each batch the coordinator writes a run record (prompt, counts, verdicts). It reads the records, not its memory, before it writes a status or a handoff.</t>
  </si>
  <si>
    <t xml:space="preserve">5.4-K2</t>
  </si>
  <si>
    <t xml:space="preserve">The role of scratchpad files for persisting key findings across context boundaries</t>
  </si>
  <si>
    <t xml:space="preserve">One notes folder in the owner's folder from the first run: each prompt, each rule list with a version, each batch output. The design file links to these files.</t>
  </si>
  <si>
    <t xml:space="preserve">5.4-K3</t>
  </si>
  <si>
    <t xml:space="preserve">Subagent delegation for isolating verbose exploration output while the main agent coordinates high-level understanding</t>
  </si>
  <si>
    <t xml:space="preserve">5.4-K4</t>
  </si>
  <si>
    <t xml:space="preserve">Structured state persistence for crash recovery: each agent exports state to a known location, and the coordinator loads a manifest on resume</t>
  </si>
  <si>
    <t xml:space="preserve">A manifest file with one row for each run: prompt file, output file, record count, status. The coordinator reads it first after each break and starts only the rows that are not done.</t>
  </si>
  <si>
    <t xml:space="preserve">5.4-S1</t>
  </si>
  <si>
    <t xml:space="preserve">Spawning subagents to investigate specific questions (e.g., "find all test files," "trace refund flow dependencies") while the main agent preserves high-level coordination</t>
  </si>
  <si>
    <t xml:space="preserve">One search agent for each batch reads the full bank and returns, for each new question, the IDs of the nearest banked scenes.</t>
  </si>
  <si>
    <t xml:space="preserve">5.4-S2</t>
  </si>
  <si>
    <t xml:space="preserve">Having agents maintain scratchpad files recording key findings, referencing them for subsequent questions to counteract context degradation</t>
  </si>
  <si>
    <t xml:space="preserve">After each run the coordinator adds to one notes file: the prompt version, the counts by rule and the open questions. It reads this file before it plans the next run.</t>
  </si>
  <si>
    <t xml:space="preserve">5.4-S3</t>
  </si>
  <si>
    <t xml:space="preserve">Summarizing key findings from one exploration phase before spawning sub-agents for the next phase, injecting summaries into initial context</t>
  </si>
  <si>
    <t xml:space="preserve">Before a generator starts, code adds to its prompt a short block for its task statements: verified facts with citations, known conflicts, and the coverage verdict of the digest.</t>
  </si>
  <si>
    <t xml:space="preserve">5.4-S4</t>
  </si>
  <si>
    <t xml:space="preserve">Designing crash recovery using structured agent state exports (manifests) that the coordinator loads on resume and injects into agent prompts</t>
  </si>
  <si>
    <t xml:space="preserve">Each agent writes a state file to a fixed path. A manifest lists run, prompt file, output file, count and status. After a stop, the coordinator reads the manifest and starts only the open rows, with the saved state in each prompt.</t>
  </si>
  <si>
    <t xml:space="preserve">5.4-S5</t>
  </si>
  <si>
    <t xml:space="preserve">Using /compact to reduce context usage during extended exploration sessions when context fills with verbose discovery output</t>
  </si>
  <si>
    <t xml:space="preserve">At the end of each phase the coordinator writes a short state file, and a new session starts from it. In Claude Code, /compact with a focus line does the same inside one session.</t>
  </si>
  <si>
    <t xml:space="preserve">Task statement 5.5: Design human review workflows and confidence calibration</t>
  </si>
  <si>
    <t xml:space="preserve">5.5-K1</t>
  </si>
  <si>
    <t xml:space="preserve">The risk that aggregate accuracy metrics (e.g., 97% overall) may mask poor performance on specific document types or fields</t>
  </si>
  <si>
    <t xml:space="preserve">Code prints each review result as a table by paper, domain, scenario, task statement and question type. A segment far from the mean gets a second look before release.</t>
  </si>
  <si>
    <t xml:space="preserve">5.5-K2</t>
  </si>
  <si>
    <t xml:space="preserve">Stratified random sampling for measuring error rates in high-confidence extractions and detecting novel error patterns</t>
  </si>
  <si>
    <t xml:space="preserve">After each batch code draws a random sample of accepted questions from each domain. The owner marks each good or bad with one reason. Code reports the error rate, and each new kind of defect becomes a rule.</t>
  </si>
  <si>
    <t xml:space="preserve">5.5-K3</t>
  </si>
  <si>
    <t xml:space="preserve">Field-level confidence scores calibrated using labeled validation sets for routing review attention</t>
  </si>
  <si>
    <t xml:space="preserve">The verifier gives a confidence for each criterion (C1 to C15). Code compares these with about 30 questions that the owner labelled and sets the review threshold from the result.</t>
  </si>
  <si>
    <t xml:space="preserve">5.5-K4</t>
  </si>
  <si>
    <t xml:space="preserve">The importance of validating accuracy by document type and field segment before automating high-confidence extractions</t>
  </si>
  <si>
    <t xml:space="preserve">Before the first paper, the owner labels a small set from each domain and each question type. Auto-banking starts for a segment only when the verifier agrees with the labels there.</t>
  </si>
  <si>
    <t xml:space="preserve">5.5-S1</t>
  </si>
  <si>
    <t xml:space="preserve">Implementing stratified random sampling of high-confidence extractions for ongoing error rate measurement and novel pattern detection</t>
  </si>
  <si>
    <t xml:space="preserve">For each paper code picks about 15 accepted questions at random, spread over the five domains and the scenarios. The owner labels them before release, and the error rate goes into the run record.</t>
  </si>
  <si>
    <t xml:space="preserve">5.5-S2</t>
  </si>
  <si>
    <t xml:space="preserve">Analyzing accuracy by document type and field to verify consistent performance across all segments before reducing human review</t>
  </si>
  <si>
    <t xml:space="preserve">Before the owner review is cut to the flagged questions, code shows the fail rate and the hit rate of the flags for each domain, scenario and question type on a labelled set.</t>
  </si>
  <si>
    <t xml:space="preserve">5.5-S3</t>
  </si>
  <si>
    <t xml:space="preserve">Having models output field-level confidence scores, then calibrating review thresholds using labeled validation sets</t>
  </si>
  <si>
    <t xml:space="preserve">One confidence for each criterion, with fixed values. A script compares it with the labels of the owner on about 30 questions and sets the review threshold from the result.</t>
  </si>
  <si>
    <t xml:space="preserve">5.5-S4</t>
  </si>
  <si>
    <t xml:space="preserve">Routing extractions with low model confidence or ambiguous/contradictory source documents to human review, prioritizing limited reviewer capacity</t>
  </si>
  <si>
    <t xml:space="preserve">Code holds each flagged or unverified question out of the paper. The owner gets a short list with the reason for each flag, ordered by risk, and decides: keep, fix or drop.</t>
  </si>
  <si>
    <t xml:space="preserve">Task statement 5.6: Preserve information provenance and handle uncertainty in multi-source synthesis</t>
  </si>
  <si>
    <t xml:space="preserve">5.6-K1</t>
  </si>
  <si>
    <t xml:space="preserve">How source attribution is lost during summarization steps when findings are compressed without preserving claim-source mappings</t>
  </si>
  <si>
    <t xml:space="preserve">Each fact and each question keeps a source field (file or link, exact quote, date read) from capture to the final paper. Code refuses a row without it.</t>
  </si>
  <si>
    <t xml:space="preserve">5.6-K2</t>
  </si>
  <si>
    <t xml:space="preserve">The importance of structured claim-source mappings that the synthesis agent must preserve and merge when combining findings</t>
  </si>
  <si>
    <t xml:space="preserve">The merge code copies `guide_bullet`, the source and the reason of the verifier into each later record and into the answer key. A test fails when a field is lost.</t>
  </si>
  <si>
    <t xml:space="preserve">5.6-K3</t>
  </si>
  <si>
    <t xml:space="preserve">How to handle conflicting statistics from credible sources: annotating conflicts with source attribution rather than arbitrarily selecting one value</t>
  </si>
  <si>
    <t xml:space="preserve">Each conflict row holds both values, both links and both dates. A rule row says which source wins and why. A value with no link cannot win.</t>
  </si>
  <si>
    <t xml:space="preserve">5.6-K4</t>
  </si>
  <si>
    <t xml:space="preserve">Temporal data: requiring publication/collection dates in structured outputs to prevent temporal differences from being misinterpreted as contradictions</t>
  </si>
  <si>
    <t xml:space="preserve">Each row of file 03 has a link and a date read. Each bank record has the guide version and the run date.</t>
  </si>
  <si>
    <t xml:space="preserve">5.6-S1</t>
  </si>
  <si>
    <t xml:space="preserve">Requiring subagents to output structured claim-source mappings (source URLs, document names, relevant excerpts) that downstream agents preserve through synthesis</t>
  </si>
  <si>
    <t xml:space="preserve">Code checks that each `guide_bullet` is an exact string of the guide and that each digest citation names a path. The field stays in each packet and in the answer key.</t>
  </si>
  <si>
    <t xml:space="preserve">5.6-S2</t>
  </si>
  <si>
    <t xml:space="preserve">Structuring reports with explicit sections distinguishing well-established findings from contested ones, preserving original source characterizations and methodological context</t>
  </si>
  <si>
    <t xml:space="preserve">Each paper ends with a short list: questions that passed all checks, and questions passed with a doubt and why. Each reference table has a status column: sourced, unsourced, retracted.</t>
  </si>
  <si>
    <t xml:space="preserve">5.6-S3</t>
  </si>
  <si>
    <t xml:space="preserve">Completing document analysis with conflicting values included and explicitly annotated, letting the coordinator decide how to reconcile before passing to synthesis</t>
  </si>
  <si>
    <t xml:space="preserve">Each conflict from a digest gets a row in file 03 with a decision and a date, also when the decision is "no question on this point". Generators get the decided rows for their task statements.</t>
  </si>
  <si>
    <t xml:space="preserve">5.6-S4</t>
  </si>
  <si>
    <t xml:space="preserve">Requiring subagents to include publication or data collection dates in structured outputs to enable correct temporal interpretation</t>
  </si>
  <si>
    <t xml:space="preserve">The output schema of each agent has a date field and, for a doc fact, the date read. Code fills the run date and rejects a doc fact with no date read.</t>
  </si>
  <si>
    <t xml:space="preserve">5.6-S5</t>
  </si>
  <si>
    <t xml:space="preserve">Rendering different content types appropriately in synthesis outputs—financial data as tables, news as prose, technical findings as structured lists—rather than converting everything to a uniform format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</si>
</sst>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41413"/>
        <bgColor rgb="FF000000"/>
      </patternFill>
    </fill>
    <fill>
      <patternFill patternType="solid">
        <fgColor rgb="FFEDECE8"/>
        <bgColor rgb="FFFFF7D6"/>
      </patternFill>
    </fill>
    <fill>
      <patternFill patternType="solid">
        <fgColor rgb="FFFFF7D6"/>
        <bgColor rgb="FFEDECE8"/>
      </patternFill>
    </fill>
  </fills>
  <borders count="2">
    <border diagonalUp="false" diagonalDown="false">
      <left/>
      <right/>
      <top/>
      <bottom/>
      <diagonal/>
    </border>
    <border diagonalUp="false" diagonalDown="false">
      <left style="thin">
        <color rgb="FFC2C0B6"/>
      </left>
      <right style="thin">
        <color rgb="FFC2C0B6"/>
      </right>
      <top style="thin">
        <color rgb="FFC2C0B6"/>
      </top>
      <bottom style="thin">
        <color rgb="FFC2C0B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2C0B6"/>
      <rgbColor rgb="FF808080"/>
      <rgbColor rgb="FF9999FF"/>
      <rgbColor rgb="FF993366"/>
      <rgbColor rgb="FFFFF7D6"/>
      <rgbColor rgb="FFEDEC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4141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6" min="2" style="0" width="16"/>
  </cols>
  <sheetData>
    <row r="1" customFormat="false" ht="17.3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15" hidden="false" customHeight="false" outlineLevel="0" collapsed="false">
      <c r="A13" s="2" t="s">
        <v>9</v>
      </c>
    </row>
    <row r="14" customFormat="false" ht="26.85" hidden="false" customHeight="false" outlineLevel="0" collapsed="false">
      <c r="A14" s="2" t="s">
        <v>10</v>
      </c>
    </row>
    <row r="15" customFormat="false" ht="26.8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26.85" hidden="false" customHeight="false" outlineLevel="0" collapsed="false">
      <c r="A18" s="2" t="s">
        <v>13</v>
      </c>
    </row>
    <row r="19" customFormat="false" ht="15" hidden="false" customHeight="false" outlineLevel="0" collapsed="false">
      <c r="A19" s="2"/>
    </row>
    <row r="20" customFormat="false" ht="15" hidden="false" customHeight="false" outlineLevel="0" collapsed="false">
      <c r="A20" s="3" t="s">
        <v>14</v>
      </c>
    </row>
    <row r="21" customFormat="false" ht="15" hidden="false" customHeight="false" outlineLevel="0" collapsed="false">
      <c r="A21" s="4" t="s">
        <v>15</v>
      </c>
      <c r="B21" s="4" t="s">
        <v>16</v>
      </c>
      <c r="C21" s="4" t="s">
        <v>17</v>
      </c>
      <c r="D21" s="4" t="s">
        <v>18</v>
      </c>
      <c r="E21" s="4" t="s">
        <v>19</v>
      </c>
      <c r="F21" s="4" t="s">
        <v>20</v>
      </c>
    </row>
    <row r="22" customFormat="false" ht="15" hidden="false" customHeight="false" outlineLevel="0" collapsed="false">
      <c r="A22" s="5" t="s">
        <v>21</v>
      </c>
      <c r="B22" s="5" t="n">
        <v>48</v>
      </c>
      <c r="C22" s="5" t="n">
        <f aca="false">COUNTIF('Domain 1'!$H$5:$H$58,"Use")</f>
        <v>0</v>
      </c>
      <c r="D22" s="5" t="n">
        <f aca="false">COUNTIF('Domain 1'!$H$5:$H$58,"Do not use")</f>
        <v>0</v>
      </c>
      <c r="E22" s="5" t="n">
        <f aca="false">COUNTIF('Domain 1'!$H$5:$H$58,"Not sure")</f>
        <v>0</v>
      </c>
      <c r="F22" s="5" t="n">
        <f aca="false">B22-C22-D22-E22</f>
        <v>48</v>
      </c>
    </row>
    <row r="23" customFormat="false" ht="15" hidden="false" customHeight="false" outlineLevel="0" collapsed="false">
      <c r="A23" s="5" t="s">
        <v>22</v>
      </c>
      <c r="B23" s="5" t="n">
        <v>43</v>
      </c>
      <c r="C23" s="5" t="n">
        <f aca="false">COUNTIF('Domain 2'!$H$5:$H$51,"Use")</f>
        <v>0</v>
      </c>
      <c r="D23" s="5" t="n">
        <f aca="false">COUNTIF('Domain 2'!$H$5:$H$51,"Do not use")</f>
        <v>0</v>
      </c>
      <c r="E23" s="5" t="n">
        <f aca="false">COUNTIF('Domain 2'!$H$5:$H$51,"Not sure")</f>
        <v>0</v>
      </c>
      <c r="F23" s="5" t="n">
        <f aca="false">B23-C23-D23-E23</f>
        <v>43</v>
      </c>
    </row>
    <row r="24" customFormat="false" ht="15" hidden="false" customHeight="false" outlineLevel="0" collapsed="false">
      <c r="A24" s="5" t="s">
        <v>23</v>
      </c>
      <c r="B24" s="5" t="n">
        <v>49</v>
      </c>
      <c r="C24" s="5" t="n">
        <f aca="false">COUNTIF('Domain 3'!$H$5:$H$58,"Use")</f>
        <v>0</v>
      </c>
      <c r="D24" s="5" t="n">
        <f aca="false">COUNTIF('Domain 3'!$H$5:$H$58,"Do not use")</f>
        <v>0</v>
      </c>
      <c r="E24" s="5" t="n">
        <f aca="false">COUNTIF('Domain 3'!$H$5:$H$58,"Not sure")</f>
        <v>0</v>
      </c>
      <c r="F24" s="5" t="n">
        <f aca="false">B24-C24-D24-E24</f>
        <v>49</v>
      </c>
    </row>
    <row r="25" customFormat="false" ht="15" hidden="false" customHeight="false" outlineLevel="0" collapsed="false">
      <c r="A25" s="5" t="s">
        <v>24</v>
      </c>
      <c r="B25" s="5" t="n">
        <v>47</v>
      </c>
      <c r="C25" s="5" t="n">
        <f aca="false">COUNTIF('Domain 4'!$H$5:$H$56,"Use")</f>
        <v>0</v>
      </c>
      <c r="D25" s="5" t="n">
        <f aca="false">COUNTIF('Domain 4'!$H$5:$H$56,"Do not use")</f>
        <v>0</v>
      </c>
      <c r="E25" s="5" t="n">
        <f aca="false">COUNTIF('Domain 4'!$H$5:$H$56,"Not sure")</f>
        <v>0</v>
      </c>
      <c r="F25" s="5" t="n">
        <f aca="false">B25-C25-D25-E25</f>
        <v>47</v>
      </c>
    </row>
    <row r="26" customFormat="false" ht="15" hidden="false" customHeight="false" outlineLevel="0" collapsed="false">
      <c r="A26" s="5" t="s">
        <v>25</v>
      </c>
      <c r="B26" s="5" t="n">
        <v>53</v>
      </c>
      <c r="C26" s="5" t="n">
        <f aca="false">COUNTIF('Domain 5'!$H$5:$H$62,"Use")</f>
        <v>0</v>
      </c>
      <c r="D26" s="5" t="n">
        <f aca="false">COUNTIF('Domain 5'!$H$5:$H$62,"Do not use")</f>
        <v>0</v>
      </c>
      <c r="E26" s="5" t="n">
        <f aca="false">COUNTIF('Domain 5'!$H$5:$H$62,"Not sure")</f>
        <v>0</v>
      </c>
      <c r="F26" s="5" t="n">
        <f aca="false">B26-C26-D26-E26</f>
        <v>53</v>
      </c>
    </row>
    <row r="27" customFormat="false" ht="15" hidden="false" customHeight="false" outlineLevel="0" collapsed="false">
      <c r="A27" s="6" t="s">
        <v>26</v>
      </c>
      <c r="B27" s="6" t="n">
        <f aca="false">SUM(B22:B26)</f>
        <v>240</v>
      </c>
      <c r="C27" s="6" t="n">
        <f aca="false">SUM(C22:C26)</f>
        <v>0</v>
      </c>
      <c r="D27" s="6" t="n">
        <f aca="false">SUM(D22:D26)</f>
        <v>0</v>
      </c>
      <c r="E27" s="6" t="n">
        <f aca="false">SUM(E22:E26)</f>
        <v>0</v>
      </c>
      <c r="F27" s="6" t="n">
        <f aca="false">SUM(F22:F26)</f>
        <v>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62"/>
    <col collapsed="false" customWidth="true" hidden="false" outlineLevel="0" max="4" min="4" style="0" width="18"/>
    <col collapsed="false" customWidth="true" hidden="false" outlineLevel="0" max="5" min="5" style="0" width="8"/>
    <col collapsed="false" customWidth="true" hidden="false" outlineLevel="0" max="6" min="6" style="0" width="14"/>
    <col collapsed="false" customWidth="true" hidden="false" outlineLevel="0" max="7" min="7" style="0" width="52"/>
    <col collapsed="false" customWidth="true" hidden="false" outlineLevel="0" max="8" min="8" style="0" width="15"/>
    <col collapsed="false" customWidth="true" hidden="false" outlineLevel="0" max="9" min="9" style="0" width="26"/>
    <col collapsed="false" customWidth="true" hidden="false" outlineLevel="0" max="10" min="10" style="0" width="44"/>
  </cols>
  <sheetData>
    <row r="1" customFormat="false" ht="17.35" hidden="false" customHeight="false" outlineLevel="0" collapsed="false">
      <c r="A1" s="7" t="s">
        <v>27</v>
      </c>
    </row>
    <row r="3" customFormat="false" ht="26.85" hidden="false" customHeight="false" outlineLevel="0" collapsed="false">
      <c r="A3" s="8" t="s">
        <v>28</v>
      </c>
      <c r="B3" s="8" t="s">
        <v>29</v>
      </c>
      <c r="C3" s="8" t="s">
        <v>30</v>
      </c>
      <c r="D3" s="8" t="s">
        <v>31</v>
      </c>
      <c r="E3" s="8" t="s">
        <v>32</v>
      </c>
      <c r="F3" s="8" t="s">
        <v>33</v>
      </c>
      <c r="G3" s="8" t="s">
        <v>34</v>
      </c>
      <c r="H3" s="8" t="s">
        <v>35</v>
      </c>
      <c r="I3" s="8" t="s">
        <v>36</v>
      </c>
      <c r="J3" s="8" t="s">
        <v>37</v>
      </c>
    </row>
    <row r="4" customFormat="false" ht="21.75" hidden="false" customHeight="true" outlineLevel="0" collapsed="false">
      <c r="A4" s="9" t="s">
        <v>38</v>
      </c>
      <c r="B4" s="9"/>
      <c r="C4" s="9"/>
      <c r="D4" s="9"/>
      <c r="E4" s="9"/>
      <c r="F4" s="9"/>
      <c r="G4" s="9"/>
      <c r="H4" s="10"/>
      <c r="I4" s="11"/>
      <c r="J4" s="11"/>
    </row>
    <row r="5" customFormat="false" ht="35.05" hidden="false" customHeight="false" outlineLevel="0" collapsed="false">
      <c r="A5" s="12" t="s">
        <v>39</v>
      </c>
      <c r="B5" s="12" t="s">
        <v>40</v>
      </c>
      <c r="C5" s="12" t="s">
        <v>41</v>
      </c>
      <c r="D5" s="12" t="s">
        <v>42</v>
      </c>
      <c r="E5" s="12" t="s">
        <v>43</v>
      </c>
      <c r="F5" s="12" t="s">
        <v>17</v>
      </c>
      <c r="G5" s="12" t="s">
        <v>44</v>
      </c>
      <c r="H5" s="13"/>
      <c r="I5" s="13"/>
      <c r="J5" s="13"/>
    </row>
    <row r="6" customFormat="false" ht="35.05" hidden="false" customHeight="false" outlineLevel="0" collapsed="false">
      <c r="A6" s="12" t="s">
        <v>45</v>
      </c>
      <c r="B6" s="12" t="s">
        <v>40</v>
      </c>
      <c r="C6" s="12" t="s">
        <v>46</v>
      </c>
      <c r="D6" s="12" t="s">
        <v>42</v>
      </c>
      <c r="E6" s="12" t="s">
        <v>43</v>
      </c>
      <c r="F6" s="12" t="s">
        <v>17</v>
      </c>
      <c r="G6" s="12" t="s">
        <v>47</v>
      </c>
      <c r="H6" s="13"/>
      <c r="I6" s="13"/>
      <c r="J6" s="13"/>
    </row>
    <row r="7" customFormat="false" ht="35.05" hidden="false" customHeight="false" outlineLevel="0" collapsed="false">
      <c r="A7" s="12" t="s">
        <v>48</v>
      </c>
      <c r="B7" s="12" t="s">
        <v>40</v>
      </c>
      <c r="C7" s="12" t="s">
        <v>49</v>
      </c>
      <c r="D7" s="12" t="s">
        <v>50</v>
      </c>
      <c r="E7" s="12" t="s">
        <v>51</v>
      </c>
      <c r="F7" s="12" t="s">
        <v>17</v>
      </c>
      <c r="G7" s="12" t="s">
        <v>52</v>
      </c>
      <c r="H7" s="13"/>
      <c r="I7" s="13"/>
      <c r="J7" s="13"/>
    </row>
    <row r="8" customFormat="false" ht="35.05" hidden="false" customHeight="false" outlineLevel="0" collapsed="false">
      <c r="A8" s="12" t="s">
        <v>53</v>
      </c>
      <c r="B8" s="12" t="s">
        <v>54</v>
      </c>
      <c r="C8" s="12" t="s">
        <v>55</v>
      </c>
      <c r="D8" s="12" t="s">
        <v>42</v>
      </c>
      <c r="E8" s="12" t="s">
        <v>43</v>
      </c>
      <c r="F8" s="12" t="s">
        <v>17</v>
      </c>
      <c r="G8" s="12" t="s">
        <v>56</v>
      </c>
      <c r="H8" s="13"/>
      <c r="I8" s="13"/>
      <c r="J8" s="13"/>
    </row>
    <row r="9" customFormat="false" ht="35.05" hidden="false" customHeight="false" outlineLevel="0" collapsed="false">
      <c r="A9" s="12" t="s">
        <v>57</v>
      </c>
      <c r="B9" s="12" t="s">
        <v>54</v>
      </c>
      <c r="C9" s="12" t="s">
        <v>58</v>
      </c>
      <c r="D9" s="12" t="s">
        <v>42</v>
      </c>
      <c r="E9" s="12" t="s">
        <v>43</v>
      </c>
      <c r="F9" s="12" t="s">
        <v>17</v>
      </c>
      <c r="G9" s="12" t="s">
        <v>59</v>
      </c>
      <c r="H9" s="13"/>
      <c r="I9" s="13"/>
      <c r="J9" s="13"/>
    </row>
    <row r="10" customFormat="false" ht="46.25" hidden="false" customHeight="false" outlineLevel="0" collapsed="false">
      <c r="A10" s="12" t="s">
        <v>60</v>
      </c>
      <c r="B10" s="12" t="s">
        <v>54</v>
      </c>
      <c r="C10" s="12" t="s">
        <v>61</v>
      </c>
      <c r="D10" s="12" t="s">
        <v>50</v>
      </c>
      <c r="E10" s="12" t="s">
        <v>51</v>
      </c>
      <c r="F10" s="12" t="s">
        <v>17</v>
      </c>
      <c r="G10" s="12" t="s">
        <v>62</v>
      </c>
      <c r="H10" s="13"/>
      <c r="I10" s="13"/>
      <c r="J10" s="13"/>
    </row>
    <row r="11" customFormat="false" ht="21.75" hidden="false" customHeight="true" outlineLevel="0" collapsed="false">
      <c r="A11" s="9" t="s">
        <v>63</v>
      </c>
      <c r="B11" s="9"/>
      <c r="C11" s="9"/>
      <c r="D11" s="9"/>
      <c r="E11" s="9"/>
      <c r="F11" s="9"/>
      <c r="G11" s="9"/>
      <c r="H11" s="10"/>
      <c r="I11" s="11"/>
      <c r="J11" s="11"/>
    </row>
    <row r="12" customFormat="false" ht="35.05" hidden="false" customHeight="false" outlineLevel="0" collapsed="false">
      <c r="A12" s="12" t="s">
        <v>64</v>
      </c>
      <c r="B12" s="12" t="s">
        <v>40</v>
      </c>
      <c r="C12" s="12" t="s">
        <v>65</v>
      </c>
      <c r="D12" s="12" t="s">
        <v>50</v>
      </c>
      <c r="E12" s="12" t="s">
        <v>51</v>
      </c>
      <c r="F12" s="12" t="s">
        <v>17</v>
      </c>
      <c r="G12" s="12" t="s">
        <v>66</v>
      </c>
      <c r="H12" s="13"/>
      <c r="I12" s="13"/>
      <c r="J12" s="13"/>
    </row>
    <row r="13" customFormat="false" ht="23.85" hidden="false" customHeight="false" outlineLevel="0" collapsed="false">
      <c r="A13" s="12" t="s">
        <v>67</v>
      </c>
      <c r="B13" s="12" t="s">
        <v>40</v>
      </c>
      <c r="C13" s="12" t="s">
        <v>68</v>
      </c>
      <c r="D13" s="12" t="s">
        <v>50</v>
      </c>
      <c r="E13" s="12" t="s">
        <v>51</v>
      </c>
      <c r="F13" s="12" t="s">
        <v>17</v>
      </c>
      <c r="G13" s="12" t="s">
        <v>69</v>
      </c>
      <c r="H13" s="13"/>
      <c r="I13" s="13"/>
      <c r="J13" s="13"/>
    </row>
    <row r="14" customFormat="false" ht="35.05" hidden="false" customHeight="false" outlineLevel="0" collapsed="false">
      <c r="A14" s="12" t="s">
        <v>70</v>
      </c>
      <c r="B14" s="12" t="s">
        <v>40</v>
      </c>
      <c r="C14" s="12" t="s">
        <v>71</v>
      </c>
      <c r="D14" s="12" t="s">
        <v>50</v>
      </c>
      <c r="E14" s="12" t="s">
        <v>51</v>
      </c>
      <c r="F14" s="12" t="s">
        <v>17</v>
      </c>
      <c r="G14" s="12" t="s">
        <v>72</v>
      </c>
      <c r="H14" s="13"/>
      <c r="I14" s="13"/>
      <c r="J14" s="13"/>
    </row>
    <row r="15" customFormat="false" ht="35.05" hidden="false" customHeight="false" outlineLevel="0" collapsed="false">
      <c r="A15" s="12" t="s">
        <v>73</v>
      </c>
      <c r="B15" s="12" t="s">
        <v>40</v>
      </c>
      <c r="C15" s="12" t="s">
        <v>74</v>
      </c>
      <c r="D15" s="12" t="s">
        <v>50</v>
      </c>
      <c r="E15" s="12" t="s">
        <v>51</v>
      </c>
      <c r="F15" s="12" t="s">
        <v>17</v>
      </c>
      <c r="G15" s="12" t="s">
        <v>75</v>
      </c>
      <c r="H15" s="13"/>
      <c r="I15" s="13"/>
      <c r="J15" s="13"/>
    </row>
    <row r="16" customFormat="false" ht="35.05" hidden="false" customHeight="false" outlineLevel="0" collapsed="false">
      <c r="A16" s="12" t="s">
        <v>76</v>
      </c>
      <c r="B16" s="12" t="s">
        <v>54</v>
      </c>
      <c r="C16" s="12" t="s">
        <v>77</v>
      </c>
      <c r="D16" s="12" t="s">
        <v>50</v>
      </c>
      <c r="E16" s="12" t="s">
        <v>51</v>
      </c>
      <c r="F16" s="12" t="s">
        <v>17</v>
      </c>
      <c r="G16" s="12" t="s">
        <v>78</v>
      </c>
      <c r="H16" s="13"/>
      <c r="I16" s="13"/>
      <c r="J16" s="13"/>
    </row>
    <row r="17" customFormat="false" ht="35.05" hidden="false" customHeight="false" outlineLevel="0" collapsed="false">
      <c r="A17" s="12" t="s">
        <v>79</v>
      </c>
      <c r="B17" s="12" t="s">
        <v>54</v>
      </c>
      <c r="C17" s="12" t="s">
        <v>80</v>
      </c>
      <c r="D17" s="12" t="s">
        <v>50</v>
      </c>
      <c r="E17" s="12" t="s">
        <v>51</v>
      </c>
      <c r="F17" s="12" t="s">
        <v>17</v>
      </c>
      <c r="G17" s="12" t="s">
        <v>81</v>
      </c>
      <c r="H17" s="13"/>
      <c r="I17" s="13"/>
      <c r="J17" s="13"/>
    </row>
    <row r="18" customFormat="false" ht="35.05" hidden="false" customHeight="false" outlineLevel="0" collapsed="false">
      <c r="A18" s="12" t="s">
        <v>82</v>
      </c>
      <c r="B18" s="12" t="s">
        <v>54</v>
      </c>
      <c r="C18" s="12" t="s">
        <v>83</v>
      </c>
      <c r="D18" s="12" t="s">
        <v>50</v>
      </c>
      <c r="E18" s="12" t="s">
        <v>51</v>
      </c>
      <c r="F18" s="12" t="s">
        <v>17</v>
      </c>
      <c r="G18" s="12" t="s">
        <v>84</v>
      </c>
      <c r="H18" s="13"/>
      <c r="I18" s="13"/>
      <c r="J18" s="13"/>
    </row>
    <row r="19" customFormat="false" ht="35.05" hidden="false" customHeight="false" outlineLevel="0" collapsed="false">
      <c r="A19" s="12" t="s">
        <v>85</v>
      </c>
      <c r="B19" s="12" t="s">
        <v>54</v>
      </c>
      <c r="C19" s="12" t="s">
        <v>86</v>
      </c>
      <c r="D19" s="12" t="s">
        <v>50</v>
      </c>
      <c r="E19" s="12" t="s">
        <v>51</v>
      </c>
      <c r="F19" s="12" t="s">
        <v>17</v>
      </c>
      <c r="G19" s="12" t="s">
        <v>87</v>
      </c>
      <c r="H19" s="13"/>
      <c r="I19" s="13"/>
      <c r="J19" s="13"/>
    </row>
    <row r="20" customFormat="false" ht="21.75" hidden="false" customHeight="true" outlineLevel="0" collapsed="false">
      <c r="A20" s="9" t="s">
        <v>88</v>
      </c>
      <c r="B20" s="9"/>
      <c r="C20" s="9"/>
      <c r="D20" s="9"/>
      <c r="E20" s="9"/>
      <c r="F20" s="9"/>
      <c r="G20" s="9"/>
      <c r="H20" s="10"/>
      <c r="I20" s="11"/>
      <c r="J20" s="11"/>
    </row>
    <row r="21" customFormat="false" ht="35.05" hidden="false" customHeight="false" outlineLevel="0" collapsed="false">
      <c r="A21" s="12" t="s">
        <v>89</v>
      </c>
      <c r="B21" s="12" t="s">
        <v>40</v>
      </c>
      <c r="C21" s="12" t="s">
        <v>90</v>
      </c>
      <c r="D21" s="12" t="s">
        <v>91</v>
      </c>
      <c r="E21" s="12" t="s">
        <v>51</v>
      </c>
      <c r="F21" s="12" t="s">
        <v>17</v>
      </c>
      <c r="G21" s="12"/>
      <c r="H21" s="13"/>
      <c r="I21" s="13"/>
      <c r="J21" s="13"/>
    </row>
    <row r="22" customFormat="false" ht="35.05" hidden="false" customHeight="false" outlineLevel="0" collapsed="false">
      <c r="A22" s="12" t="s">
        <v>92</v>
      </c>
      <c r="B22" s="12" t="s">
        <v>40</v>
      </c>
      <c r="C22" s="12" t="s">
        <v>93</v>
      </c>
      <c r="D22" s="12" t="s">
        <v>50</v>
      </c>
      <c r="E22" s="12" t="s">
        <v>51</v>
      </c>
      <c r="F22" s="12" t="s">
        <v>17</v>
      </c>
      <c r="G22" s="12" t="s">
        <v>94</v>
      </c>
      <c r="H22" s="13"/>
      <c r="I22" s="13"/>
      <c r="J22" s="13"/>
    </row>
    <row r="23" customFormat="false" ht="46.25" hidden="false" customHeight="false" outlineLevel="0" collapsed="false">
      <c r="A23" s="12" t="s">
        <v>95</v>
      </c>
      <c r="B23" s="12" t="s">
        <v>40</v>
      </c>
      <c r="C23" s="12" t="s">
        <v>96</v>
      </c>
      <c r="D23" s="12" t="s">
        <v>97</v>
      </c>
      <c r="E23" s="12" t="s">
        <v>51</v>
      </c>
      <c r="F23" s="12" t="s">
        <v>17</v>
      </c>
      <c r="G23" s="12" t="s">
        <v>98</v>
      </c>
      <c r="H23" s="13"/>
      <c r="I23" s="13"/>
      <c r="J23" s="13"/>
    </row>
    <row r="24" customFormat="false" ht="35.05" hidden="false" customHeight="false" outlineLevel="0" collapsed="false">
      <c r="A24" s="12" t="s">
        <v>99</v>
      </c>
      <c r="B24" s="12" t="s">
        <v>40</v>
      </c>
      <c r="C24" s="12" t="s">
        <v>100</v>
      </c>
      <c r="D24" s="12" t="s">
        <v>42</v>
      </c>
      <c r="E24" s="12" t="s">
        <v>43</v>
      </c>
      <c r="F24" s="12" t="s">
        <v>17</v>
      </c>
      <c r="G24" s="12" t="s">
        <v>101</v>
      </c>
      <c r="H24" s="13"/>
      <c r="I24" s="13"/>
      <c r="J24" s="13"/>
    </row>
    <row r="25" customFormat="false" ht="35.05" hidden="false" customHeight="false" outlineLevel="0" collapsed="false">
      <c r="A25" s="12" t="s">
        <v>102</v>
      </c>
      <c r="B25" s="12" t="s">
        <v>54</v>
      </c>
      <c r="C25" s="12" t="s">
        <v>103</v>
      </c>
      <c r="D25" s="12" t="s">
        <v>50</v>
      </c>
      <c r="E25" s="12" t="s">
        <v>51</v>
      </c>
      <c r="F25" s="12" t="s">
        <v>17</v>
      </c>
      <c r="G25" s="12" t="s">
        <v>104</v>
      </c>
      <c r="H25" s="13"/>
      <c r="I25" s="13"/>
      <c r="J25" s="13"/>
    </row>
    <row r="26" customFormat="false" ht="35.05" hidden="false" customHeight="false" outlineLevel="0" collapsed="false">
      <c r="A26" s="12" t="s">
        <v>105</v>
      </c>
      <c r="B26" s="12" t="s">
        <v>54</v>
      </c>
      <c r="C26" s="12" t="s">
        <v>106</v>
      </c>
      <c r="D26" s="12" t="s">
        <v>50</v>
      </c>
      <c r="E26" s="12" t="s">
        <v>51</v>
      </c>
      <c r="F26" s="12" t="s">
        <v>17</v>
      </c>
      <c r="G26" s="12" t="s">
        <v>107</v>
      </c>
      <c r="H26" s="13"/>
      <c r="I26" s="13"/>
      <c r="J26" s="13"/>
    </row>
    <row r="27" customFormat="false" ht="35.05" hidden="false" customHeight="false" outlineLevel="0" collapsed="false">
      <c r="A27" s="12" t="s">
        <v>108</v>
      </c>
      <c r="B27" s="12" t="s">
        <v>54</v>
      </c>
      <c r="C27" s="12" t="s">
        <v>109</v>
      </c>
      <c r="D27" s="12" t="s">
        <v>50</v>
      </c>
      <c r="E27" s="12" t="s">
        <v>51</v>
      </c>
      <c r="F27" s="12" t="s">
        <v>17</v>
      </c>
      <c r="G27" s="12" t="s">
        <v>110</v>
      </c>
      <c r="H27" s="13"/>
      <c r="I27" s="13"/>
      <c r="J27" s="13"/>
    </row>
    <row r="28" customFormat="false" ht="35.05" hidden="false" customHeight="false" outlineLevel="0" collapsed="false">
      <c r="A28" s="12" t="s">
        <v>111</v>
      </c>
      <c r="B28" s="12" t="s">
        <v>54</v>
      </c>
      <c r="C28" s="12" t="s">
        <v>112</v>
      </c>
      <c r="D28" s="12" t="s">
        <v>50</v>
      </c>
      <c r="E28" s="12" t="s">
        <v>51</v>
      </c>
      <c r="F28" s="12" t="s">
        <v>17</v>
      </c>
      <c r="G28" s="12" t="s">
        <v>113</v>
      </c>
      <c r="H28" s="13"/>
      <c r="I28" s="13"/>
      <c r="J28" s="13"/>
    </row>
    <row r="29" customFormat="false" ht="21.75" hidden="false" customHeight="true" outlineLevel="0" collapsed="false">
      <c r="A29" s="9" t="s">
        <v>114</v>
      </c>
      <c r="B29" s="9"/>
      <c r="C29" s="9"/>
      <c r="D29" s="9"/>
      <c r="E29" s="9"/>
      <c r="F29" s="9"/>
      <c r="G29" s="9"/>
      <c r="H29" s="10"/>
      <c r="I29" s="11"/>
      <c r="J29" s="11"/>
    </row>
    <row r="30" customFormat="false" ht="35.05" hidden="false" customHeight="false" outlineLevel="0" collapsed="false">
      <c r="A30" s="12" t="s">
        <v>115</v>
      </c>
      <c r="B30" s="12" t="s">
        <v>40</v>
      </c>
      <c r="C30" s="12" t="s">
        <v>116</v>
      </c>
      <c r="D30" s="12" t="s">
        <v>50</v>
      </c>
      <c r="E30" s="12" t="s">
        <v>51</v>
      </c>
      <c r="F30" s="12" t="s">
        <v>17</v>
      </c>
      <c r="G30" s="12" t="s">
        <v>117</v>
      </c>
      <c r="H30" s="13"/>
      <c r="I30" s="13"/>
      <c r="J30" s="13"/>
    </row>
    <row r="31" customFormat="false" ht="35.05" hidden="false" customHeight="false" outlineLevel="0" collapsed="false">
      <c r="A31" s="12" t="s">
        <v>118</v>
      </c>
      <c r="B31" s="12" t="s">
        <v>40</v>
      </c>
      <c r="C31" s="12" t="s">
        <v>119</v>
      </c>
      <c r="D31" s="12" t="s">
        <v>50</v>
      </c>
      <c r="E31" s="12" t="s">
        <v>51</v>
      </c>
      <c r="F31" s="12" t="s">
        <v>17</v>
      </c>
      <c r="G31" s="12" t="s">
        <v>120</v>
      </c>
      <c r="H31" s="13"/>
      <c r="I31" s="13"/>
      <c r="J31" s="13"/>
    </row>
    <row r="32" customFormat="false" ht="35.05" hidden="false" customHeight="false" outlineLevel="0" collapsed="false">
      <c r="A32" s="12" t="s">
        <v>121</v>
      </c>
      <c r="B32" s="12" t="s">
        <v>40</v>
      </c>
      <c r="C32" s="12" t="s">
        <v>122</v>
      </c>
      <c r="D32" s="12" t="s">
        <v>50</v>
      </c>
      <c r="E32" s="12" t="s">
        <v>51</v>
      </c>
      <c r="F32" s="12" t="s">
        <v>17</v>
      </c>
      <c r="G32" s="12" t="s">
        <v>123</v>
      </c>
      <c r="H32" s="13"/>
      <c r="I32" s="13"/>
      <c r="J32" s="13"/>
    </row>
    <row r="33" customFormat="false" ht="46.25" hidden="false" customHeight="false" outlineLevel="0" collapsed="false">
      <c r="A33" s="12" t="s">
        <v>124</v>
      </c>
      <c r="B33" s="12" t="s">
        <v>54</v>
      </c>
      <c r="C33" s="12" t="s">
        <v>125</v>
      </c>
      <c r="D33" s="12" t="s">
        <v>50</v>
      </c>
      <c r="E33" s="12" t="s">
        <v>51</v>
      </c>
      <c r="F33" s="12" t="s">
        <v>17</v>
      </c>
      <c r="G33" s="12" t="s">
        <v>126</v>
      </c>
      <c r="H33" s="13"/>
      <c r="I33" s="13"/>
      <c r="J33" s="13"/>
    </row>
    <row r="34" customFormat="false" ht="46.25" hidden="false" customHeight="false" outlineLevel="0" collapsed="false">
      <c r="A34" s="12" t="s">
        <v>127</v>
      </c>
      <c r="B34" s="12" t="s">
        <v>54</v>
      </c>
      <c r="C34" s="12" t="s">
        <v>128</v>
      </c>
      <c r="D34" s="12" t="s">
        <v>50</v>
      </c>
      <c r="E34" s="12" t="s">
        <v>51</v>
      </c>
      <c r="F34" s="12" t="s">
        <v>17</v>
      </c>
      <c r="G34" s="12" t="s">
        <v>129</v>
      </c>
      <c r="H34" s="13"/>
      <c r="I34" s="13"/>
      <c r="J34" s="13"/>
    </row>
    <row r="35" customFormat="false" ht="35.05" hidden="false" customHeight="false" outlineLevel="0" collapsed="false">
      <c r="A35" s="12" t="s">
        <v>130</v>
      </c>
      <c r="B35" s="12" t="s">
        <v>54</v>
      </c>
      <c r="C35" s="12" t="s">
        <v>131</v>
      </c>
      <c r="D35" s="12" t="s">
        <v>50</v>
      </c>
      <c r="E35" s="12" t="s">
        <v>51</v>
      </c>
      <c r="F35" s="12" t="s">
        <v>17</v>
      </c>
      <c r="G35" s="12" t="s">
        <v>132</v>
      </c>
      <c r="H35" s="13"/>
      <c r="I35" s="13"/>
      <c r="J35" s="13"/>
    </row>
    <row r="36" customFormat="false" ht="21.75" hidden="false" customHeight="true" outlineLevel="0" collapsed="false">
      <c r="A36" s="9" t="s">
        <v>133</v>
      </c>
      <c r="B36" s="9"/>
      <c r="C36" s="9"/>
      <c r="D36" s="9"/>
      <c r="E36" s="9"/>
      <c r="F36" s="9"/>
      <c r="G36" s="9"/>
      <c r="H36" s="10"/>
      <c r="I36" s="11"/>
      <c r="J36" s="11"/>
    </row>
    <row r="37" customFormat="false" ht="35.05" hidden="false" customHeight="false" outlineLevel="0" collapsed="false">
      <c r="A37" s="12" t="s">
        <v>134</v>
      </c>
      <c r="B37" s="12" t="s">
        <v>40</v>
      </c>
      <c r="C37" s="12" t="s">
        <v>135</v>
      </c>
      <c r="D37" s="12" t="s">
        <v>50</v>
      </c>
      <c r="E37" s="12" t="s">
        <v>51</v>
      </c>
      <c r="F37" s="12" t="s">
        <v>17</v>
      </c>
      <c r="G37" s="12" t="s">
        <v>136</v>
      </c>
      <c r="H37" s="13"/>
      <c r="I37" s="13"/>
      <c r="J37" s="13"/>
    </row>
    <row r="38" customFormat="false" ht="35.05" hidden="false" customHeight="false" outlineLevel="0" collapsed="false">
      <c r="A38" s="12" t="s">
        <v>137</v>
      </c>
      <c r="B38" s="12" t="s">
        <v>40</v>
      </c>
      <c r="C38" s="12" t="s">
        <v>138</v>
      </c>
      <c r="D38" s="12" t="s">
        <v>50</v>
      </c>
      <c r="E38" s="12" t="s">
        <v>51</v>
      </c>
      <c r="F38" s="12" t="s">
        <v>17</v>
      </c>
      <c r="G38" s="12" t="s">
        <v>139</v>
      </c>
      <c r="H38" s="13"/>
      <c r="I38" s="13"/>
      <c r="J38" s="13"/>
    </row>
    <row r="39" customFormat="false" ht="35.05" hidden="false" customHeight="false" outlineLevel="0" collapsed="false">
      <c r="A39" s="12" t="s">
        <v>140</v>
      </c>
      <c r="B39" s="12" t="s">
        <v>40</v>
      </c>
      <c r="C39" s="12" t="s">
        <v>141</v>
      </c>
      <c r="D39" s="12" t="s">
        <v>50</v>
      </c>
      <c r="E39" s="12" t="s">
        <v>51</v>
      </c>
      <c r="F39" s="12" t="s">
        <v>17</v>
      </c>
      <c r="G39" s="12" t="s">
        <v>142</v>
      </c>
      <c r="H39" s="13"/>
      <c r="I39" s="13"/>
      <c r="J39" s="13"/>
    </row>
    <row r="40" customFormat="false" ht="46.25" hidden="false" customHeight="false" outlineLevel="0" collapsed="false">
      <c r="A40" s="12" t="s">
        <v>143</v>
      </c>
      <c r="B40" s="12" t="s">
        <v>54</v>
      </c>
      <c r="C40" s="12" t="s">
        <v>144</v>
      </c>
      <c r="D40" s="12" t="s">
        <v>50</v>
      </c>
      <c r="E40" s="12" t="s">
        <v>51</v>
      </c>
      <c r="F40" s="12" t="s">
        <v>17</v>
      </c>
      <c r="G40" s="12" t="s">
        <v>145</v>
      </c>
      <c r="H40" s="13"/>
      <c r="I40" s="13"/>
      <c r="J40" s="13"/>
    </row>
    <row r="41" customFormat="false" ht="35.05" hidden="false" customHeight="false" outlineLevel="0" collapsed="false">
      <c r="A41" s="12" t="s">
        <v>146</v>
      </c>
      <c r="B41" s="12" t="s">
        <v>54</v>
      </c>
      <c r="C41" s="12" t="s">
        <v>147</v>
      </c>
      <c r="D41" s="12" t="s">
        <v>50</v>
      </c>
      <c r="E41" s="12" t="s">
        <v>51</v>
      </c>
      <c r="F41" s="12" t="s">
        <v>17</v>
      </c>
      <c r="G41" s="12" t="s">
        <v>148</v>
      </c>
      <c r="H41" s="13"/>
      <c r="I41" s="13"/>
      <c r="J41" s="13"/>
    </row>
    <row r="42" customFormat="false" ht="35.05" hidden="false" customHeight="false" outlineLevel="0" collapsed="false">
      <c r="A42" s="12" t="s">
        <v>149</v>
      </c>
      <c r="B42" s="12" t="s">
        <v>54</v>
      </c>
      <c r="C42" s="12" t="s">
        <v>150</v>
      </c>
      <c r="D42" s="12" t="s">
        <v>50</v>
      </c>
      <c r="E42" s="12" t="s">
        <v>51</v>
      </c>
      <c r="F42" s="12" t="s">
        <v>17</v>
      </c>
      <c r="G42" s="12" t="s">
        <v>151</v>
      </c>
      <c r="H42" s="13"/>
      <c r="I42" s="13"/>
      <c r="J42" s="13"/>
    </row>
    <row r="43" customFormat="false" ht="21.75" hidden="false" customHeight="true" outlineLevel="0" collapsed="false">
      <c r="A43" s="9" t="s">
        <v>152</v>
      </c>
      <c r="B43" s="9"/>
      <c r="C43" s="9"/>
      <c r="D43" s="9"/>
      <c r="E43" s="9"/>
      <c r="F43" s="9"/>
      <c r="G43" s="9"/>
      <c r="H43" s="10"/>
      <c r="I43" s="11"/>
      <c r="J43" s="11"/>
    </row>
    <row r="44" customFormat="false" ht="35.05" hidden="false" customHeight="false" outlineLevel="0" collapsed="false">
      <c r="A44" s="12" t="s">
        <v>153</v>
      </c>
      <c r="B44" s="12" t="s">
        <v>40</v>
      </c>
      <c r="C44" s="12" t="s">
        <v>154</v>
      </c>
      <c r="D44" s="12" t="s">
        <v>50</v>
      </c>
      <c r="E44" s="12" t="s">
        <v>51</v>
      </c>
      <c r="F44" s="12" t="s">
        <v>17</v>
      </c>
      <c r="G44" s="12" t="s">
        <v>155</v>
      </c>
      <c r="H44" s="13"/>
      <c r="I44" s="13"/>
      <c r="J44" s="13"/>
    </row>
    <row r="45" customFormat="false" ht="35.05" hidden="false" customHeight="false" outlineLevel="0" collapsed="false">
      <c r="A45" s="12" t="s">
        <v>156</v>
      </c>
      <c r="B45" s="12" t="s">
        <v>40</v>
      </c>
      <c r="C45" s="12" t="s">
        <v>157</v>
      </c>
      <c r="D45" s="12" t="s">
        <v>50</v>
      </c>
      <c r="E45" s="12" t="s">
        <v>51</v>
      </c>
      <c r="F45" s="12" t="s">
        <v>17</v>
      </c>
      <c r="G45" s="12" t="s">
        <v>158</v>
      </c>
      <c r="H45" s="13"/>
      <c r="I45" s="13"/>
      <c r="J45" s="13"/>
    </row>
    <row r="46" customFormat="false" ht="46.25" hidden="false" customHeight="false" outlineLevel="0" collapsed="false">
      <c r="A46" s="12" t="s">
        <v>159</v>
      </c>
      <c r="B46" s="12" t="s">
        <v>40</v>
      </c>
      <c r="C46" s="12" t="s">
        <v>160</v>
      </c>
      <c r="D46" s="12" t="s">
        <v>50</v>
      </c>
      <c r="E46" s="12" t="s">
        <v>51</v>
      </c>
      <c r="F46" s="12" t="s">
        <v>17</v>
      </c>
      <c r="G46" s="12" t="s">
        <v>161</v>
      </c>
      <c r="H46" s="13"/>
      <c r="I46" s="13"/>
      <c r="J46" s="13"/>
    </row>
    <row r="47" customFormat="false" ht="35.05" hidden="false" customHeight="false" outlineLevel="0" collapsed="false">
      <c r="A47" s="12" t="s">
        <v>162</v>
      </c>
      <c r="B47" s="12" t="s">
        <v>54</v>
      </c>
      <c r="C47" s="12" t="s">
        <v>163</v>
      </c>
      <c r="D47" s="12" t="s">
        <v>50</v>
      </c>
      <c r="E47" s="12" t="s">
        <v>51</v>
      </c>
      <c r="F47" s="12" t="s">
        <v>17</v>
      </c>
      <c r="G47" s="12" t="s">
        <v>164</v>
      </c>
      <c r="H47" s="13"/>
      <c r="I47" s="13"/>
      <c r="J47" s="13"/>
    </row>
    <row r="48" customFormat="false" ht="46.25" hidden="false" customHeight="false" outlineLevel="0" collapsed="false">
      <c r="A48" s="12" t="s">
        <v>165</v>
      </c>
      <c r="B48" s="12" t="s">
        <v>54</v>
      </c>
      <c r="C48" s="12" t="s">
        <v>166</v>
      </c>
      <c r="D48" s="12" t="s">
        <v>50</v>
      </c>
      <c r="E48" s="12" t="s">
        <v>51</v>
      </c>
      <c r="F48" s="12" t="s">
        <v>17</v>
      </c>
      <c r="G48" s="12" t="s">
        <v>167</v>
      </c>
      <c r="H48" s="13"/>
      <c r="I48" s="13"/>
      <c r="J48" s="13"/>
    </row>
    <row r="49" customFormat="false" ht="46.25" hidden="false" customHeight="false" outlineLevel="0" collapsed="false">
      <c r="A49" s="12" t="s">
        <v>168</v>
      </c>
      <c r="B49" s="12" t="s">
        <v>54</v>
      </c>
      <c r="C49" s="12" t="s">
        <v>169</v>
      </c>
      <c r="D49" s="12" t="s">
        <v>50</v>
      </c>
      <c r="E49" s="12" t="s">
        <v>51</v>
      </c>
      <c r="F49" s="12" t="s">
        <v>17</v>
      </c>
      <c r="G49" s="12" t="s">
        <v>170</v>
      </c>
      <c r="H49" s="13"/>
      <c r="I49" s="13"/>
      <c r="J49" s="13"/>
    </row>
    <row r="50" customFormat="false" ht="21.75" hidden="false" customHeight="true" outlineLevel="0" collapsed="false">
      <c r="A50" s="9" t="s">
        <v>171</v>
      </c>
      <c r="B50" s="9"/>
      <c r="C50" s="9"/>
      <c r="D50" s="9"/>
      <c r="E50" s="9"/>
      <c r="F50" s="9"/>
      <c r="G50" s="9"/>
      <c r="H50" s="10"/>
      <c r="I50" s="11"/>
      <c r="J50" s="11"/>
    </row>
    <row r="51" customFormat="false" ht="35.05" hidden="false" customHeight="false" outlineLevel="0" collapsed="false">
      <c r="A51" s="12" t="s">
        <v>172</v>
      </c>
      <c r="B51" s="12" t="s">
        <v>40</v>
      </c>
      <c r="C51" s="12" t="s">
        <v>173</v>
      </c>
      <c r="D51" s="12" t="s">
        <v>42</v>
      </c>
      <c r="E51" s="12" t="s">
        <v>43</v>
      </c>
      <c r="F51" s="12" t="s">
        <v>17</v>
      </c>
      <c r="G51" s="12" t="s">
        <v>174</v>
      </c>
      <c r="H51" s="13"/>
      <c r="I51" s="13"/>
      <c r="J51" s="13"/>
    </row>
    <row r="52" customFormat="false" ht="35.05" hidden="false" customHeight="false" outlineLevel="0" collapsed="false">
      <c r="A52" s="12" t="s">
        <v>175</v>
      </c>
      <c r="B52" s="12" t="s">
        <v>40</v>
      </c>
      <c r="C52" s="12" t="s">
        <v>176</v>
      </c>
      <c r="D52" s="12" t="s">
        <v>42</v>
      </c>
      <c r="E52" s="12" t="s">
        <v>43</v>
      </c>
      <c r="F52" s="12" t="s">
        <v>17</v>
      </c>
      <c r="G52" s="12" t="s">
        <v>177</v>
      </c>
      <c r="H52" s="13"/>
      <c r="I52" s="13"/>
      <c r="J52" s="13"/>
    </row>
    <row r="53" customFormat="false" ht="35.05" hidden="false" customHeight="false" outlineLevel="0" collapsed="false">
      <c r="A53" s="12" t="s">
        <v>178</v>
      </c>
      <c r="B53" s="12" t="s">
        <v>40</v>
      </c>
      <c r="C53" s="12" t="s">
        <v>179</v>
      </c>
      <c r="D53" s="12" t="s">
        <v>50</v>
      </c>
      <c r="E53" s="12" t="s">
        <v>51</v>
      </c>
      <c r="F53" s="12" t="s">
        <v>17</v>
      </c>
      <c r="G53" s="12" t="s">
        <v>180</v>
      </c>
      <c r="H53" s="13"/>
      <c r="I53" s="13"/>
      <c r="J53" s="13"/>
    </row>
    <row r="54" customFormat="false" ht="46.25" hidden="false" customHeight="false" outlineLevel="0" collapsed="false">
      <c r="A54" s="12" t="s">
        <v>181</v>
      </c>
      <c r="B54" s="12" t="s">
        <v>40</v>
      </c>
      <c r="C54" s="12" t="s">
        <v>182</v>
      </c>
      <c r="D54" s="12" t="s">
        <v>50</v>
      </c>
      <c r="E54" s="12" t="s">
        <v>51</v>
      </c>
      <c r="F54" s="12" t="s">
        <v>17</v>
      </c>
      <c r="G54" s="12" t="s">
        <v>183</v>
      </c>
      <c r="H54" s="13"/>
      <c r="I54" s="13"/>
      <c r="J54" s="13"/>
    </row>
    <row r="55" customFormat="false" ht="35.05" hidden="false" customHeight="false" outlineLevel="0" collapsed="false">
      <c r="A55" s="12" t="s">
        <v>184</v>
      </c>
      <c r="B55" s="12" t="s">
        <v>54</v>
      </c>
      <c r="C55" s="12" t="s">
        <v>185</v>
      </c>
      <c r="D55" s="12" t="s">
        <v>42</v>
      </c>
      <c r="E55" s="12" t="s">
        <v>43</v>
      </c>
      <c r="F55" s="12" t="s">
        <v>17</v>
      </c>
      <c r="G55" s="12" t="s">
        <v>186</v>
      </c>
      <c r="H55" s="13"/>
      <c r="I55" s="13"/>
      <c r="J55" s="13"/>
    </row>
    <row r="56" customFormat="false" ht="35.05" hidden="false" customHeight="false" outlineLevel="0" collapsed="false">
      <c r="A56" s="12" t="s">
        <v>187</v>
      </c>
      <c r="B56" s="12" t="s">
        <v>54</v>
      </c>
      <c r="C56" s="12" t="s">
        <v>188</v>
      </c>
      <c r="D56" s="12" t="s">
        <v>42</v>
      </c>
      <c r="E56" s="12" t="s">
        <v>43</v>
      </c>
      <c r="F56" s="12" t="s">
        <v>17</v>
      </c>
      <c r="G56" s="12" t="s">
        <v>189</v>
      </c>
      <c r="H56" s="13"/>
      <c r="I56" s="13"/>
      <c r="J56" s="13"/>
    </row>
    <row r="57" customFormat="false" ht="35.05" hidden="false" customHeight="false" outlineLevel="0" collapsed="false">
      <c r="A57" s="12" t="s">
        <v>190</v>
      </c>
      <c r="B57" s="12" t="s">
        <v>54</v>
      </c>
      <c r="C57" s="12" t="s">
        <v>191</v>
      </c>
      <c r="D57" s="12" t="s">
        <v>50</v>
      </c>
      <c r="E57" s="12" t="s">
        <v>51</v>
      </c>
      <c r="F57" s="12" t="s">
        <v>17</v>
      </c>
      <c r="G57" s="12" t="s">
        <v>192</v>
      </c>
      <c r="H57" s="13"/>
      <c r="I57" s="13"/>
      <c r="J57" s="13"/>
    </row>
    <row r="58" customFormat="false" ht="35.05" hidden="false" customHeight="false" outlineLevel="0" collapsed="false">
      <c r="A58" s="12" t="s">
        <v>193</v>
      </c>
      <c r="B58" s="12" t="s">
        <v>54</v>
      </c>
      <c r="C58" s="12" t="s">
        <v>194</v>
      </c>
      <c r="D58" s="12" t="s">
        <v>50</v>
      </c>
      <c r="E58" s="12" t="s">
        <v>51</v>
      </c>
      <c r="F58" s="12" t="s">
        <v>17</v>
      </c>
      <c r="G58" s="12" t="s">
        <v>195</v>
      </c>
      <c r="H58" s="13"/>
      <c r="I58" s="13"/>
      <c r="J58" s="13"/>
    </row>
  </sheetData>
  <mergeCells count="14">
    <mergeCell ref="A4:G4"/>
    <mergeCell ref="I4:J4"/>
    <mergeCell ref="A11:G11"/>
    <mergeCell ref="I11:J11"/>
    <mergeCell ref="A20:G20"/>
    <mergeCell ref="I20:J20"/>
    <mergeCell ref="A29:G29"/>
    <mergeCell ref="I29:J29"/>
    <mergeCell ref="A36:G36"/>
    <mergeCell ref="I36:J36"/>
    <mergeCell ref="A43:G43"/>
    <mergeCell ref="I43:J43"/>
    <mergeCell ref="A50:G50"/>
    <mergeCell ref="I50:J50"/>
  </mergeCells>
  <dataValidations count="1">
    <dataValidation allowBlank="true" errorStyle="stop" operator="between" showDropDown="false" showErrorMessage="false" showInputMessage="false" sqref="H5:H10 H12:H19 H21:H28 H30:H35 H37:H42 H44:H49 H51:H58" type="list">
      <formula1>"Use,Do not use,Not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62"/>
    <col collapsed="false" customWidth="true" hidden="false" outlineLevel="0" max="4" min="4" style="0" width="18"/>
    <col collapsed="false" customWidth="true" hidden="false" outlineLevel="0" max="5" min="5" style="0" width="8"/>
    <col collapsed="false" customWidth="true" hidden="false" outlineLevel="0" max="6" min="6" style="0" width="14"/>
    <col collapsed="false" customWidth="true" hidden="false" outlineLevel="0" max="7" min="7" style="0" width="52"/>
    <col collapsed="false" customWidth="true" hidden="false" outlineLevel="0" max="8" min="8" style="0" width="15"/>
    <col collapsed="false" customWidth="true" hidden="false" outlineLevel="0" max="9" min="9" style="0" width="26"/>
    <col collapsed="false" customWidth="true" hidden="false" outlineLevel="0" max="10" min="10" style="0" width="44"/>
  </cols>
  <sheetData>
    <row r="1" customFormat="false" ht="17.35" hidden="false" customHeight="false" outlineLevel="0" collapsed="false">
      <c r="A1" s="7" t="s">
        <v>196</v>
      </c>
    </row>
    <row r="3" customFormat="false" ht="26.85" hidden="false" customHeight="false" outlineLevel="0" collapsed="false">
      <c r="A3" s="8" t="s">
        <v>28</v>
      </c>
      <c r="B3" s="8" t="s">
        <v>29</v>
      </c>
      <c r="C3" s="8" t="s">
        <v>30</v>
      </c>
      <c r="D3" s="8" t="s">
        <v>31</v>
      </c>
      <c r="E3" s="8" t="s">
        <v>32</v>
      </c>
      <c r="F3" s="8" t="s">
        <v>33</v>
      </c>
      <c r="G3" s="8" t="s">
        <v>34</v>
      </c>
      <c r="H3" s="8" t="s">
        <v>35</v>
      </c>
      <c r="I3" s="8" t="s">
        <v>36</v>
      </c>
      <c r="J3" s="8" t="s">
        <v>37</v>
      </c>
    </row>
    <row r="4" customFormat="false" ht="21.75" hidden="false" customHeight="true" outlineLevel="0" collapsed="false">
      <c r="A4" s="9" t="s">
        <v>197</v>
      </c>
      <c r="B4" s="9"/>
      <c r="C4" s="9"/>
      <c r="D4" s="9"/>
      <c r="E4" s="9"/>
      <c r="F4" s="9"/>
      <c r="G4" s="9"/>
      <c r="H4" s="10"/>
      <c r="I4" s="11"/>
      <c r="J4" s="11"/>
    </row>
    <row r="5" customFormat="false" ht="35.05" hidden="false" customHeight="false" outlineLevel="0" collapsed="false">
      <c r="A5" s="12" t="s">
        <v>198</v>
      </c>
      <c r="B5" s="12" t="s">
        <v>40</v>
      </c>
      <c r="C5" s="12" t="s">
        <v>199</v>
      </c>
      <c r="D5" s="12" t="s">
        <v>97</v>
      </c>
      <c r="E5" s="12" t="s">
        <v>43</v>
      </c>
      <c r="F5" s="12" t="s">
        <v>17</v>
      </c>
      <c r="G5" s="12" t="s">
        <v>200</v>
      </c>
      <c r="H5" s="13"/>
      <c r="I5" s="13"/>
      <c r="J5" s="13"/>
    </row>
    <row r="6" customFormat="false" ht="46.25" hidden="false" customHeight="false" outlineLevel="0" collapsed="false">
      <c r="A6" s="12" t="s">
        <v>201</v>
      </c>
      <c r="B6" s="12" t="s">
        <v>40</v>
      </c>
      <c r="C6" s="12" t="s">
        <v>202</v>
      </c>
      <c r="D6" s="12" t="s">
        <v>97</v>
      </c>
      <c r="E6" s="12" t="s">
        <v>51</v>
      </c>
      <c r="F6" s="12" t="s">
        <v>17</v>
      </c>
      <c r="G6" s="12" t="s">
        <v>203</v>
      </c>
      <c r="H6" s="13"/>
      <c r="I6" s="13"/>
      <c r="J6" s="13"/>
    </row>
    <row r="7" customFormat="false" ht="35.05" hidden="false" customHeight="false" outlineLevel="0" collapsed="false">
      <c r="A7" s="12" t="s">
        <v>204</v>
      </c>
      <c r="B7" s="12" t="s">
        <v>40</v>
      </c>
      <c r="C7" s="12" t="s">
        <v>205</v>
      </c>
      <c r="D7" s="12" t="s">
        <v>97</v>
      </c>
      <c r="E7" s="12" t="s">
        <v>43</v>
      </c>
      <c r="F7" s="12" t="s">
        <v>17</v>
      </c>
      <c r="G7" s="12" t="s">
        <v>206</v>
      </c>
      <c r="H7" s="13"/>
      <c r="I7" s="13"/>
      <c r="J7" s="13"/>
    </row>
    <row r="8" customFormat="false" ht="23.85" hidden="false" customHeight="false" outlineLevel="0" collapsed="false">
      <c r="A8" s="12" t="s">
        <v>207</v>
      </c>
      <c r="B8" s="12" t="s">
        <v>40</v>
      </c>
      <c r="C8" s="12" t="s">
        <v>208</v>
      </c>
      <c r="D8" s="12" t="s">
        <v>50</v>
      </c>
      <c r="E8" s="12" t="s">
        <v>51</v>
      </c>
      <c r="F8" s="12" t="s">
        <v>17</v>
      </c>
      <c r="G8" s="12" t="s">
        <v>209</v>
      </c>
      <c r="H8" s="13"/>
      <c r="I8" s="13"/>
      <c r="J8" s="13"/>
    </row>
    <row r="9" customFormat="false" ht="46.25" hidden="false" customHeight="false" outlineLevel="0" collapsed="false">
      <c r="A9" s="12" t="s">
        <v>210</v>
      </c>
      <c r="B9" s="12" t="s">
        <v>54</v>
      </c>
      <c r="C9" s="12" t="s">
        <v>211</v>
      </c>
      <c r="D9" s="12" t="s">
        <v>97</v>
      </c>
      <c r="E9" s="12" t="s">
        <v>43</v>
      </c>
      <c r="F9" s="12" t="s">
        <v>17</v>
      </c>
      <c r="G9" s="12" t="s">
        <v>212</v>
      </c>
      <c r="H9" s="13"/>
      <c r="I9" s="13"/>
      <c r="J9" s="13"/>
    </row>
    <row r="10" customFormat="false" ht="35.05" hidden="false" customHeight="false" outlineLevel="0" collapsed="false">
      <c r="A10" s="12" t="s">
        <v>213</v>
      </c>
      <c r="B10" s="12" t="s">
        <v>54</v>
      </c>
      <c r="C10" s="12" t="s">
        <v>214</v>
      </c>
      <c r="D10" s="12" t="s">
        <v>97</v>
      </c>
      <c r="E10" s="12" t="s">
        <v>43</v>
      </c>
      <c r="F10" s="12" t="s">
        <v>17</v>
      </c>
      <c r="G10" s="12" t="s">
        <v>215</v>
      </c>
      <c r="H10" s="13"/>
      <c r="I10" s="13"/>
      <c r="J10" s="13"/>
    </row>
    <row r="11" customFormat="false" ht="57.45" hidden="false" customHeight="false" outlineLevel="0" collapsed="false">
      <c r="A11" s="12" t="s">
        <v>216</v>
      </c>
      <c r="B11" s="12" t="s">
        <v>54</v>
      </c>
      <c r="C11" s="12" t="s">
        <v>217</v>
      </c>
      <c r="D11" s="12" t="s">
        <v>42</v>
      </c>
      <c r="E11" s="12" t="s">
        <v>51</v>
      </c>
      <c r="F11" s="12" t="s">
        <v>17</v>
      </c>
      <c r="G11" s="12" t="s">
        <v>218</v>
      </c>
      <c r="H11" s="13"/>
      <c r="I11" s="13"/>
      <c r="J11" s="13"/>
    </row>
    <row r="12" customFormat="false" ht="35.05" hidden="false" customHeight="false" outlineLevel="0" collapsed="false">
      <c r="A12" s="12" t="s">
        <v>219</v>
      </c>
      <c r="B12" s="12" t="s">
        <v>54</v>
      </c>
      <c r="C12" s="12" t="s">
        <v>220</v>
      </c>
      <c r="D12" s="12" t="s">
        <v>42</v>
      </c>
      <c r="E12" s="12" t="s">
        <v>43</v>
      </c>
      <c r="F12" s="12" t="s">
        <v>17</v>
      </c>
      <c r="G12" s="12" t="s">
        <v>221</v>
      </c>
      <c r="H12" s="13"/>
      <c r="I12" s="13"/>
      <c r="J12" s="13"/>
    </row>
    <row r="13" customFormat="false" ht="21.75" hidden="false" customHeight="true" outlineLevel="0" collapsed="false">
      <c r="A13" s="9" t="s">
        <v>222</v>
      </c>
      <c r="B13" s="9"/>
      <c r="C13" s="9"/>
      <c r="D13" s="9"/>
      <c r="E13" s="9"/>
      <c r="F13" s="9"/>
      <c r="G13" s="9"/>
      <c r="H13" s="10"/>
      <c r="I13" s="11"/>
      <c r="J13" s="11"/>
    </row>
    <row r="14" customFormat="false" ht="23.85" hidden="false" customHeight="false" outlineLevel="0" collapsed="false">
      <c r="A14" s="12" t="s">
        <v>223</v>
      </c>
      <c r="B14" s="12" t="s">
        <v>40</v>
      </c>
      <c r="C14" s="12" t="s">
        <v>224</v>
      </c>
      <c r="D14" s="12" t="s">
        <v>97</v>
      </c>
      <c r="E14" s="12" t="s">
        <v>51</v>
      </c>
      <c r="F14" s="12" t="s">
        <v>17</v>
      </c>
      <c r="G14" s="12" t="s">
        <v>225</v>
      </c>
      <c r="H14" s="13"/>
      <c r="I14" s="13"/>
      <c r="J14" s="13"/>
    </row>
    <row r="15" customFormat="false" ht="46.25" hidden="false" customHeight="false" outlineLevel="0" collapsed="false">
      <c r="A15" s="12" t="s">
        <v>226</v>
      </c>
      <c r="B15" s="12" t="s">
        <v>40</v>
      </c>
      <c r="C15" s="12" t="s">
        <v>227</v>
      </c>
      <c r="D15" s="12" t="s">
        <v>97</v>
      </c>
      <c r="E15" s="12" t="s">
        <v>51</v>
      </c>
      <c r="F15" s="12" t="s">
        <v>17</v>
      </c>
      <c r="G15" s="12" t="s">
        <v>228</v>
      </c>
      <c r="H15" s="13"/>
      <c r="I15" s="13"/>
      <c r="J15" s="13"/>
    </row>
    <row r="16" customFormat="false" ht="46.25" hidden="false" customHeight="false" outlineLevel="0" collapsed="false">
      <c r="A16" s="12" t="s">
        <v>229</v>
      </c>
      <c r="B16" s="12" t="s">
        <v>40</v>
      </c>
      <c r="C16" s="12" t="s">
        <v>230</v>
      </c>
      <c r="D16" s="12" t="s">
        <v>50</v>
      </c>
      <c r="E16" s="12" t="s">
        <v>51</v>
      </c>
      <c r="F16" s="12" t="s">
        <v>17</v>
      </c>
      <c r="G16" s="12" t="s">
        <v>231</v>
      </c>
      <c r="H16" s="13"/>
      <c r="I16" s="13"/>
      <c r="J16" s="13"/>
    </row>
    <row r="17" customFormat="false" ht="35.05" hidden="false" customHeight="false" outlineLevel="0" collapsed="false">
      <c r="A17" s="12" t="s">
        <v>232</v>
      </c>
      <c r="B17" s="12" t="s">
        <v>40</v>
      </c>
      <c r="C17" s="12" t="s">
        <v>233</v>
      </c>
      <c r="D17" s="12" t="s">
        <v>97</v>
      </c>
      <c r="E17" s="12" t="s">
        <v>51</v>
      </c>
      <c r="F17" s="12" t="s">
        <v>17</v>
      </c>
      <c r="G17" s="12" t="s">
        <v>234</v>
      </c>
      <c r="H17" s="13"/>
      <c r="I17" s="13"/>
      <c r="J17" s="13"/>
    </row>
    <row r="18" customFormat="false" ht="35.05" hidden="false" customHeight="false" outlineLevel="0" collapsed="false">
      <c r="A18" s="12" t="s">
        <v>235</v>
      </c>
      <c r="B18" s="12" t="s">
        <v>54</v>
      </c>
      <c r="C18" s="12" t="s">
        <v>236</v>
      </c>
      <c r="D18" s="12" t="s">
        <v>97</v>
      </c>
      <c r="E18" s="12" t="s">
        <v>51</v>
      </c>
      <c r="F18" s="12" t="s">
        <v>17</v>
      </c>
      <c r="G18" s="12" t="s">
        <v>237</v>
      </c>
      <c r="H18" s="13"/>
      <c r="I18" s="13"/>
      <c r="J18" s="13"/>
    </row>
    <row r="19" customFormat="false" ht="35.05" hidden="false" customHeight="false" outlineLevel="0" collapsed="false">
      <c r="A19" s="12" t="s">
        <v>238</v>
      </c>
      <c r="B19" s="12" t="s">
        <v>54</v>
      </c>
      <c r="C19" s="12" t="s">
        <v>239</v>
      </c>
      <c r="D19" s="12" t="s">
        <v>97</v>
      </c>
      <c r="E19" s="12" t="s">
        <v>43</v>
      </c>
      <c r="F19" s="12" t="s">
        <v>17</v>
      </c>
      <c r="G19" s="12" t="s">
        <v>240</v>
      </c>
      <c r="H19" s="13"/>
      <c r="I19" s="13"/>
      <c r="J19" s="13"/>
    </row>
    <row r="20" customFormat="false" ht="35.05" hidden="false" customHeight="false" outlineLevel="0" collapsed="false">
      <c r="A20" s="12" t="s">
        <v>241</v>
      </c>
      <c r="B20" s="12" t="s">
        <v>54</v>
      </c>
      <c r="C20" s="12" t="s">
        <v>242</v>
      </c>
      <c r="D20" s="12" t="s">
        <v>50</v>
      </c>
      <c r="E20" s="12" t="s">
        <v>51</v>
      </c>
      <c r="F20" s="12" t="s">
        <v>17</v>
      </c>
      <c r="G20" s="12" t="s">
        <v>243</v>
      </c>
      <c r="H20" s="13"/>
      <c r="I20" s="13"/>
      <c r="J20" s="13"/>
    </row>
    <row r="21" customFormat="false" ht="35.05" hidden="false" customHeight="false" outlineLevel="0" collapsed="false">
      <c r="A21" s="12" t="s">
        <v>244</v>
      </c>
      <c r="B21" s="12" t="s">
        <v>54</v>
      </c>
      <c r="C21" s="12" t="s">
        <v>245</v>
      </c>
      <c r="D21" s="12" t="s">
        <v>50</v>
      </c>
      <c r="E21" s="12" t="s">
        <v>51</v>
      </c>
      <c r="F21" s="12" t="s">
        <v>17</v>
      </c>
      <c r="G21" s="12" t="s">
        <v>246</v>
      </c>
      <c r="H21" s="13"/>
      <c r="I21" s="13"/>
      <c r="J21" s="13"/>
    </row>
    <row r="22" customFormat="false" ht="21.75" hidden="false" customHeight="true" outlineLevel="0" collapsed="false">
      <c r="A22" s="9" t="s">
        <v>247</v>
      </c>
      <c r="B22" s="9"/>
      <c r="C22" s="9"/>
      <c r="D22" s="9"/>
      <c r="E22" s="9"/>
      <c r="F22" s="9"/>
      <c r="G22" s="9"/>
      <c r="H22" s="10"/>
      <c r="I22" s="11"/>
      <c r="J22" s="11"/>
    </row>
    <row r="23" customFormat="false" ht="35.05" hidden="false" customHeight="false" outlineLevel="0" collapsed="false">
      <c r="A23" s="12" t="s">
        <v>248</v>
      </c>
      <c r="B23" s="12" t="s">
        <v>40</v>
      </c>
      <c r="C23" s="12" t="s">
        <v>249</v>
      </c>
      <c r="D23" s="12" t="s">
        <v>250</v>
      </c>
      <c r="E23" s="12" t="s">
        <v>51</v>
      </c>
      <c r="F23" s="12" t="s">
        <v>17</v>
      </c>
      <c r="G23" s="12" t="s">
        <v>251</v>
      </c>
      <c r="H23" s="13"/>
      <c r="I23" s="13"/>
      <c r="J23" s="13"/>
    </row>
    <row r="24" customFormat="false" ht="23.85" hidden="false" customHeight="false" outlineLevel="0" collapsed="false">
      <c r="A24" s="12" t="s">
        <v>252</v>
      </c>
      <c r="B24" s="12" t="s">
        <v>40</v>
      </c>
      <c r="C24" s="12" t="s">
        <v>253</v>
      </c>
      <c r="D24" s="12" t="s">
        <v>97</v>
      </c>
      <c r="E24" s="12" t="s">
        <v>51</v>
      </c>
      <c r="F24" s="12" t="s">
        <v>17</v>
      </c>
      <c r="G24" s="12" t="s">
        <v>254</v>
      </c>
      <c r="H24" s="13"/>
      <c r="I24" s="13"/>
      <c r="J24" s="13"/>
    </row>
    <row r="25" customFormat="false" ht="35.05" hidden="false" customHeight="false" outlineLevel="0" collapsed="false">
      <c r="A25" s="12" t="s">
        <v>255</v>
      </c>
      <c r="B25" s="12" t="s">
        <v>40</v>
      </c>
      <c r="C25" s="12" t="s">
        <v>256</v>
      </c>
      <c r="D25" s="12" t="s">
        <v>97</v>
      </c>
      <c r="E25" s="12" t="s">
        <v>51</v>
      </c>
      <c r="F25" s="12" t="s">
        <v>17</v>
      </c>
      <c r="G25" s="12" t="s">
        <v>257</v>
      </c>
      <c r="H25" s="13"/>
      <c r="I25" s="13"/>
      <c r="J25" s="13"/>
    </row>
    <row r="26" customFormat="false" ht="35.05" hidden="false" customHeight="false" outlineLevel="0" collapsed="false">
      <c r="A26" s="12" t="s">
        <v>258</v>
      </c>
      <c r="B26" s="12" t="s">
        <v>40</v>
      </c>
      <c r="C26" s="12" t="s">
        <v>259</v>
      </c>
      <c r="D26" s="12" t="s">
        <v>97</v>
      </c>
      <c r="E26" s="12" t="s">
        <v>51</v>
      </c>
      <c r="F26" s="12" t="s">
        <v>17</v>
      </c>
      <c r="G26" s="12" t="s">
        <v>260</v>
      </c>
      <c r="H26" s="13"/>
      <c r="I26" s="13"/>
      <c r="J26" s="13"/>
    </row>
    <row r="27" customFormat="false" ht="35.05" hidden="false" customHeight="false" outlineLevel="0" collapsed="false">
      <c r="A27" s="12" t="s">
        <v>261</v>
      </c>
      <c r="B27" s="12" t="s">
        <v>54</v>
      </c>
      <c r="C27" s="12" t="s">
        <v>262</v>
      </c>
      <c r="D27" s="12" t="s">
        <v>97</v>
      </c>
      <c r="E27" s="12" t="s">
        <v>51</v>
      </c>
      <c r="F27" s="12" t="s">
        <v>17</v>
      </c>
      <c r="G27" s="12" t="s">
        <v>263</v>
      </c>
      <c r="H27" s="13"/>
      <c r="I27" s="13"/>
      <c r="J27" s="13"/>
    </row>
    <row r="28" customFormat="false" ht="46.25" hidden="false" customHeight="false" outlineLevel="0" collapsed="false">
      <c r="A28" s="12" t="s">
        <v>264</v>
      </c>
      <c r="B28" s="12" t="s">
        <v>54</v>
      </c>
      <c r="C28" s="12" t="s">
        <v>265</v>
      </c>
      <c r="D28" s="12" t="s">
        <v>97</v>
      </c>
      <c r="E28" s="12" t="s">
        <v>51</v>
      </c>
      <c r="F28" s="12" t="s">
        <v>17</v>
      </c>
      <c r="G28" s="12" t="s">
        <v>266</v>
      </c>
      <c r="H28" s="13"/>
      <c r="I28" s="13"/>
      <c r="J28" s="13"/>
    </row>
    <row r="29" customFormat="false" ht="46.25" hidden="false" customHeight="false" outlineLevel="0" collapsed="false">
      <c r="A29" s="12" t="s">
        <v>267</v>
      </c>
      <c r="B29" s="12" t="s">
        <v>54</v>
      </c>
      <c r="C29" s="12" t="s">
        <v>268</v>
      </c>
      <c r="D29" s="12" t="s">
        <v>42</v>
      </c>
      <c r="E29" s="12" t="s">
        <v>51</v>
      </c>
      <c r="F29" s="12" t="s">
        <v>17</v>
      </c>
      <c r="G29" s="12" t="s">
        <v>269</v>
      </c>
      <c r="H29" s="13"/>
      <c r="I29" s="13"/>
      <c r="J29" s="13"/>
    </row>
    <row r="30" customFormat="false" ht="35.05" hidden="false" customHeight="false" outlineLevel="0" collapsed="false">
      <c r="A30" s="12" t="s">
        <v>270</v>
      </c>
      <c r="B30" s="12" t="s">
        <v>54</v>
      </c>
      <c r="C30" s="12" t="s">
        <v>271</v>
      </c>
      <c r="D30" s="12" t="s">
        <v>42</v>
      </c>
      <c r="E30" s="12" t="s">
        <v>43</v>
      </c>
      <c r="F30" s="12" t="s">
        <v>17</v>
      </c>
      <c r="G30" s="12" t="s">
        <v>272</v>
      </c>
      <c r="H30" s="13"/>
      <c r="I30" s="13"/>
      <c r="J30" s="13"/>
    </row>
    <row r="31" customFormat="false" ht="35.05" hidden="false" customHeight="false" outlineLevel="0" collapsed="false">
      <c r="A31" s="12" t="s">
        <v>273</v>
      </c>
      <c r="B31" s="12" t="s">
        <v>54</v>
      </c>
      <c r="C31" s="12" t="s">
        <v>274</v>
      </c>
      <c r="D31" s="12" t="s">
        <v>97</v>
      </c>
      <c r="E31" s="12" t="s">
        <v>51</v>
      </c>
      <c r="F31" s="12" t="s">
        <v>17</v>
      </c>
      <c r="G31" s="12" t="s">
        <v>275</v>
      </c>
      <c r="H31" s="13"/>
      <c r="I31" s="13"/>
      <c r="J31" s="13"/>
    </row>
    <row r="32" customFormat="false" ht="21.75" hidden="false" customHeight="true" outlineLevel="0" collapsed="false">
      <c r="A32" s="9" t="s">
        <v>276</v>
      </c>
      <c r="B32" s="9"/>
      <c r="C32" s="9"/>
      <c r="D32" s="9"/>
      <c r="E32" s="9"/>
      <c r="F32" s="9"/>
      <c r="G32" s="9"/>
      <c r="H32" s="10"/>
      <c r="I32" s="11"/>
      <c r="J32" s="11"/>
    </row>
    <row r="33" customFormat="false" ht="23.85" hidden="false" customHeight="false" outlineLevel="0" collapsed="false">
      <c r="A33" s="12" t="s">
        <v>277</v>
      </c>
      <c r="B33" s="12" t="s">
        <v>40</v>
      </c>
      <c r="C33" s="12" t="s">
        <v>278</v>
      </c>
      <c r="D33" s="12" t="s">
        <v>279</v>
      </c>
      <c r="E33" s="12" t="s">
        <v>280</v>
      </c>
      <c r="F33" s="12" t="s">
        <v>18</v>
      </c>
      <c r="G33" s="12"/>
      <c r="H33" s="13"/>
      <c r="I33" s="13"/>
      <c r="J33" s="13"/>
    </row>
    <row r="34" customFormat="false" ht="23.85" hidden="false" customHeight="false" outlineLevel="0" collapsed="false">
      <c r="A34" s="12" t="s">
        <v>281</v>
      </c>
      <c r="B34" s="12" t="s">
        <v>40</v>
      </c>
      <c r="C34" s="12" t="s">
        <v>282</v>
      </c>
      <c r="D34" s="12" t="s">
        <v>279</v>
      </c>
      <c r="E34" s="12" t="s">
        <v>280</v>
      </c>
      <c r="F34" s="12" t="s">
        <v>18</v>
      </c>
      <c r="G34" s="12"/>
      <c r="H34" s="13"/>
      <c r="I34" s="13"/>
      <c r="J34" s="13"/>
    </row>
    <row r="35" customFormat="false" ht="35.05" hidden="false" customHeight="false" outlineLevel="0" collapsed="false">
      <c r="A35" s="12" t="s">
        <v>283</v>
      </c>
      <c r="B35" s="12" t="s">
        <v>40</v>
      </c>
      <c r="C35" s="12" t="s">
        <v>284</v>
      </c>
      <c r="D35" s="12" t="s">
        <v>250</v>
      </c>
      <c r="E35" s="12" t="s">
        <v>43</v>
      </c>
      <c r="F35" s="12" t="s">
        <v>17</v>
      </c>
      <c r="G35" s="12" t="s">
        <v>285</v>
      </c>
      <c r="H35" s="13"/>
      <c r="I35" s="13"/>
      <c r="J35" s="13"/>
    </row>
    <row r="36" customFormat="false" ht="46.25" hidden="false" customHeight="false" outlineLevel="0" collapsed="false">
      <c r="A36" s="12" t="s">
        <v>286</v>
      </c>
      <c r="B36" s="12" t="s">
        <v>40</v>
      </c>
      <c r="C36" s="12" t="s">
        <v>287</v>
      </c>
      <c r="D36" s="12" t="s">
        <v>50</v>
      </c>
      <c r="E36" s="12" t="s">
        <v>51</v>
      </c>
      <c r="F36" s="12" t="s">
        <v>17</v>
      </c>
      <c r="G36" s="12" t="s">
        <v>288</v>
      </c>
      <c r="H36" s="13"/>
      <c r="I36" s="13"/>
      <c r="J36" s="13"/>
    </row>
    <row r="37" customFormat="false" ht="23.85" hidden="false" customHeight="false" outlineLevel="0" collapsed="false">
      <c r="A37" s="12" t="s">
        <v>289</v>
      </c>
      <c r="B37" s="12" t="s">
        <v>54</v>
      </c>
      <c r="C37" s="12" t="s">
        <v>290</v>
      </c>
      <c r="D37" s="12" t="s">
        <v>279</v>
      </c>
      <c r="E37" s="12" t="s">
        <v>280</v>
      </c>
      <c r="F37" s="12" t="s">
        <v>18</v>
      </c>
      <c r="G37" s="12"/>
      <c r="H37" s="13"/>
      <c r="I37" s="13"/>
      <c r="J37" s="13"/>
    </row>
    <row r="38" customFormat="false" ht="23.85" hidden="false" customHeight="false" outlineLevel="0" collapsed="false">
      <c r="A38" s="12" t="s">
        <v>291</v>
      </c>
      <c r="B38" s="12" t="s">
        <v>54</v>
      </c>
      <c r="C38" s="12" t="s">
        <v>292</v>
      </c>
      <c r="D38" s="12" t="s">
        <v>279</v>
      </c>
      <c r="E38" s="12" t="s">
        <v>280</v>
      </c>
      <c r="F38" s="12" t="s">
        <v>18</v>
      </c>
      <c r="G38" s="12"/>
      <c r="H38" s="13"/>
      <c r="I38" s="13"/>
      <c r="J38" s="13"/>
    </row>
    <row r="39" customFormat="false" ht="35.05" hidden="false" customHeight="false" outlineLevel="0" collapsed="false">
      <c r="A39" s="12" t="s">
        <v>293</v>
      </c>
      <c r="B39" s="12" t="s">
        <v>54</v>
      </c>
      <c r="C39" s="12" t="s">
        <v>294</v>
      </c>
      <c r="D39" s="12" t="s">
        <v>97</v>
      </c>
      <c r="E39" s="12" t="s">
        <v>43</v>
      </c>
      <c r="F39" s="12" t="s">
        <v>17</v>
      </c>
      <c r="G39" s="12" t="s">
        <v>295</v>
      </c>
      <c r="H39" s="13"/>
      <c r="I39" s="13"/>
      <c r="J39" s="13"/>
    </row>
    <row r="40" customFormat="false" ht="35.05" hidden="false" customHeight="false" outlineLevel="0" collapsed="false">
      <c r="A40" s="12" t="s">
        <v>296</v>
      </c>
      <c r="B40" s="12" t="s">
        <v>54</v>
      </c>
      <c r="C40" s="12" t="s">
        <v>297</v>
      </c>
      <c r="D40" s="12" t="s">
        <v>91</v>
      </c>
      <c r="E40" s="12" t="s">
        <v>43</v>
      </c>
      <c r="F40" s="12" t="s">
        <v>17</v>
      </c>
      <c r="G40" s="12"/>
      <c r="H40" s="13"/>
      <c r="I40" s="13"/>
      <c r="J40" s="13"/>
    </row>
    <row r="41" customFormat="false" ht="46.25" hidden="false" customHeight="false" outlineLevel="0" collapsed="false">
      <c r="A41" s="12" t="s">
        <v>298</v>
      </c>
      <c r="B41" s="12" t="s">
        <v>54</v>
      </c>
      <c r="C41" s="12" t="s">
        <v>299</v>
      </c>
      <c r="D41" s="12" t="s">
        <v>50</v>
      </c>
      <c r="E41" s="12" t="s">
        <v>51</v>
      </c>
      <c r="F41" s="12" t="s">
        <v>17</v>
      </c>
      <c r="G41" s="12" t="s">
        <v>300</v>
      </c>
      <c r="H41" s="13"/>
      <c r="I41" s="13"/>
      <c r="J41" s="13"/>
    </row>
    <row r="42" customFormat="false" ht="21.75" hidden="false" customHeight="true" outlineLevel="0" collapsed="false">
      <c r="A42" s="9" t="s">
        <v>301</v>
      </c>
      <c r="B42" s="9"/>
      <c r="C42" s="9"/>
      <c r="D42" s="9"/>
      <c r="E42" s="9"/>
      <c r="F42" s="9"/>
      <c r="G42" s="9"/>
      <c r="H42" s="10"/>
      <c r="I42" s="11"/>
      <c r="J42" s="11"/>
    </row>
    <row r="43" customFormat="false" ht="35.05" hidden="false" customHeight="false" outlineLevel="0" collapsed="false">
      <c r="A43" s="12" t="s">
        <v>302</v>
      </c>
      <c r="B43" s="12" t="s">
        <v>40</v>
      </c>
      <c r="C43" s="12" t="s">
        <v>303</v>
      </c>
      <c r="D43" s="12" t="s">
        <v>50</v>
      </c>
      <c r="E43" s="12" t="s">
        <v>51</v>
      </c>
      <c r="F43" s="12" t="s">
        <v>17</v>
      </c>
      <c r="G43" s="12" t="s">
        <v>304</v>
      </c>
      <c r="H43" s="13"/>
      <c r="I43" s="13"/>
      <c r="J43" s="13"/>
    </row>
    <row r="44" customFormat="false" ht="23.85" hidden="false" customHeight="false" outlineLevel="0" collapsed="false">
      <c r="A44" s="12" t="s">
        <v>305</v>
      </c>
      <c r="B44" s="12" t="s">
        <v>40</v>
      </c>
      <c r="C44" s="12" t="s">
        <v>306</v>
      </c>
      <c r="D44" s="12" t="s">
        <v>91</v>
      </c>
      <c r="E44" s="12" t="s">
        <v>43</v>
      </c>
      <c r="F44" s="12" t="s">
        <v>17</v>
      </c>
      <c r="G44" s="12"/>
      <c r="H44" s="13"/>
      <c r="I44" s="13"/>
      <c r="J44" s="13"/>
    </row>
    <row r="45" customFormat="false" ht="35.05" hidden="false" customHeight="false" outlineLevel="0" collapsed="false">
      <c r="A45" s="12" t="s">
        <v>307</v>
      </c>
      <c r="B45" s="12" t="s">
        <v>40</v>
      </c>
      <c r="C45" s="12" t="s">
        <v>308</v>
      </c>
      <c r="D45" s="12" t="s">
        <v>50</v>
      </c>
      <c r="E45" s="12" t="s">
        <v>51</v>
      </c>
      <c r="F45" s="12" t="s">
        <v>17</v>
      </c>
      <c r="G45" s="12" t="s">
        <v>309</v>
      </c>
      <c r="H45" s="13"/>
      <c r="I45" s="13"/>
      <c r="J45" s="13"/>
    </row>
    <row r="46" customFormat="false" ht="35.05" hidden="false" customHeight="false" outlineLevel="0" collapsed="false">
      <c r="A46" s="12" t="s">
        <v>310</v>
      </c>
      <c r="B46" s="12" t="s">
        <v>40</v>
      </c>
      <c r="C46" s="12" t="s">
        <v>311</v>
      </c>
      <c r="D46" s="12" t="s">
        <v>50</v>
      </c>
      <c r="E46" s="12" t="s">
        <v>51</v>
      </c>
      <c r="F46" s="12" t="s">
        <v>17</v>
      </c>
      <c r="G46" s="12" t="s">
        <v>312</v>
      </c>
      <c r="H46" s="13"/>
      <c r="I46" s="13"/>
      <c r="J46" s="13"/>
    </row>
    <row r="47" customFormat="false" ht="35.05" hidden="false" customHeight="false" outlineLevel="0" collapsed="false">
      <c r="A47" s="12" t="s">
        <v>313</v>
      </c>
      <c r="B47" s="12" t="s">
        <v>54</v>
      </c>
      <c r="C47" s="12" t="s">
        <v>314</v>
      </c>
      <c r="D47" s="12" t="s">
        <v>50</v>
      </c>
      <c r="E47" s="12" t="s">
        <v>51</v>
      </c>
      <c r="F47" s="12" t="s">
        <v>17</v>
      </c>
      <c r="G47" s="12" t="s">
        <v>315</v>
      </c>
      <c r="H47" s="13"/>
      <c r="I47" s="13"/>
      <c r="J47" s="13"/>
    </row>
    <row r="48" customFormat="false" ht="15" hidden="false" customHeight="false" outlineLevel="0" collapsed="false">
      <c r="A48" s="12" t="s">
        <v>316</v>
      </c>
      <c r="B48" s="12" t="s">
        <v>54</v>
      </c>
      <c r="C48" s="12" t="s">
        <v>317</v>
      </c>
      <c r="D48" s="12" t="s">
        <v>91</v>
      </c>
      <c r="E48" s="12" t="s">
        <v>43</v>
      </c>
      <c r="F48" s="12" t="s">
        <v>17</v>
      </c>
      <c r="G48" s="12"/>
      <c r="H48" s="13"/>
      <c r="I48" s="13"/>
      <c r="J48" s="13"/>
    </row>
    <row r="49" customFormat="false" ht="35.05" hidden="false" customHeight="false" outlineLevel="0" collapsed="false">
      <c r="A49" s="12" t="s">
        <v>318</v>
      </c>
      <c r="B49" s="12" t="s">
        <v>54</v>
      </c>
      <c r="C49" s="12" t="s">
        <v>319</v>
      </c>
      <c r="D49" s="12" t="s">
        <v>50</v>
      </c>
      <c r="E49" s="12" t="s">
        <v>51</v>
      </c>
      <c r="F49" s="12" t="s">
        <v>17</v>
      </c>
      <c r="G49" s="12" t="s">
        <v>320</v>
      </c>
      <c r="H49" s="13"/>
      <c r="I49" s="13"/>
      <c r="J49" s="13"/>
    </row>
    <row r="50" customFormat="false" ht="35.05" hidden="false" customHeight="false" outlineLevel="0" collapsed="false">
      <c r="A50" s="12" t="s">
        <v>321</v>
      </c>
      <c r="B50" s="12" t="s">
        <v>54</v>
      </c>
      <c r="C50" s="12" t="s">
        <v>322</v>
      </c>
      <c r="D50" s="12" t="s">
        <v>91</v>
      </c>
      <c r="E50" s="12" t="s">
        <v>51</v>
      </c>
      <c r="F50" s="12" t="s">
        <v>17</v>
      </c>
      <c r="G50" s="12"/>
      <c r="H50" s="13"/>
      <c r="I50" s="13"/>
      <c r="J50" s="13"/>
    </row>
    <row r="51" customFormat="false" ht="35.05" hidden="false" customHeight="false" outlineLevel="0" collapsed="false">
      <c r="A51" s="12" t="s">
        <v>323</v>
      </c>
      <c r="B51" s="12" t="s">
        <v>54</v>
      </c>
      <c r="C51" s="12" t="s">
        <v>324</v>
      </c>
      <c r="D51" s="12" t="s">
        <v>50</v>
      </c>
      <c r="E51" s="12" t="s">
        <v>51</v>
      </c>
      <c r="F51" s="12" t="s">
        <v>17</v>
      </c>
      <c r="G51" s="12" t="s">
        <v>325</v>
      </c>
      <c r="H51" s="13"/>
      <c r="I51" s="13"/>
      <c r="J51" s="13"/>
    </row>
  </sheetData>
  <mergeCells count="10">
    <mergeCell ref="A4:G4"/>
    <mergeCell ref="I4:J4"/>
    <mergeCell ref="A13:G13"/>
    <mergeCell ref="I13:J13"/>
    <mergeCell ref="A22:G22"/>
    <mergeCell ref="I22:J22"/>
    <mergeCell ref="A32:G32"/>
    <mergeCell ref="I32:J32"/>
    <mergeCell ref="A42:G42"/>
    <mergeCell ref="I42:J42"/>
  </mergeCells>
  <dataValidations count="1">
    <dataValidation allowBlank="true" errorStyle="stop" operator="between" showDropDown="false" showErrorMessage="false" showInputMessage="false" sqref="H5:H12 H14:H21 H23:H31 H33:H41 H43:H51" type="list">
      <formula1>"Use,Do not use,Not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62"/>
    <col collapsed="false" customWidth="true" hidden="false" outlineLevel="0" max="4" min="4" style="0" width="18"/>
    <col collapsed="false" customWidth="true" hidden="false" outlineLevel="0" max="5" min="5" style="0" width="8"/>
    <col collapsed="false" customWidth="true" hidden="false" outlineLevel="0" max="6" min="6" style="0" width="14"/>
    <col collapsed="false" customWidth="true" hidden="false" outlineLevel="0" max="7" min="7" style="0" width="52"/>
    <col collapsed="false" customWidth="true" hidden="false" outlineLevel="0" max="8" min="8" style="0" width="15"/>
    <col collapsed="false" customWidth="true" hidden="false" outlineLevel="0" max="9" min="9" style="0" width="26"/>
    <col collapsed="false" customWidth="true" hidden="false" outlineLevel="0" max="10" min="10" style="0" width="44"/>
  </cols>
  <sheetData>
    <row r="1" customFormat="false" ht="17.35" hidden="false" customHeight="false" outlineLevel="0" collapsed="false">
      <c r="A1" s="7" t="s">
        <v>326</v>
      </c>
    </row>
    <row r="3" customFormat="false" ht="26.85" hidden="false" customHeight="false" outlineLevel="0" collapsed="false">
      <c r="A3" s="8" t="s">
        <v>28</v>
      </c>
      <c r="B3" s="8" t="s">
        <v>29</v>
      </c>
      <c r="C3" s="8" t="s">
        <v>30</v>
      </c>
      <c r="D3" s="8" t="s">
        <v>31</v>
      </c>
      <c r="E3" s="8" t="s">
        <v>32</v>
      </c>
      <c r="F3" s="8" t="s">
        <v>33</v>
      </c>
      <c r="G3" s="8" t="s">
        <v>34</v>
      </c>
      <c r="H3" s="8" t="s">
        <v>35</v>
      </c>
      <c r="I3" s="8" t="s">
        <v>36</v>
      </c>
      <c r="J3" s="8" t="s">
        <v>37</v>
      </c>
    </row>
    <row r="4" customFormat="false" ht="21.75" hidden="false" customHeight="true" outlineLevel="0" collapsed="false">
      <c r="A4" s="9" t="s">
        <v>327</v>
      </c>
      <c r="B4" s="9"/>
      <c r="C4" s="9"/>
      <c r="D4" s="9"/>
      <c r="E4" s="9"/>
      <c r="F4" s="9"/>
      <c r="G4" s="9"/>
      <c r="H4" s="10"/>
      <c r="I4" s="11"/>
      <c r="J4" s="11"/>
    </row>
    <row r="5" customFormat="false" ht="46.25" hidden="false" customHeight="false" outlineLevel="0" collapsed="false">
      <c r="A5" s="12" t="s">
        <v>328</v>
      </c>
      <c r="B5" s="12" t="s">
        <v>40</v>
      </c>
      <c r="C5" s="12" t="s">
        <v>329</v>
      </c>
      <c r="D5" s="12" t="s">
        <v>97</v>
      </c>
      <c r="E5" s="12" t="s">
        <v>51</v>
      </c>
      <c r="F5" s="12" t="s">
        <v>17</v>
      </c>
      <c r="G5" s="12" t="s">
        <v>330</v>
      </c>
      <c r="H5" s="13"/>
      <c r="I5" s="13"/>
      <c r="J5" s="13"/>
    </row>
    <row r="6" customFormat="false" ht="35.05" hidden="false" customHeight="false" outlineLevel="0" collapsed="false">
      <c r="A6" s="12" t="s">
        <v>331</v>
      </c>
      <c r="B6" s="12" t="s">
        <v>40</v>
      </c>
      <c r="C6" s="12" t="s">
        <v>332</v>
      </c>
      <c r="D6" s="12" t="s">
        <v>50</v>
      </c>
      <c r="E6" s="12" t="s">
        <v>43</v>
      </c>
      <c r="F6" s="12" t="s">
        <v>17</v>
      </c>
      <c r="G6" s="12" t="s">
        <v>333</v>
      </c>
      <c r="H6" s="13"/>
      <c r="I6" s="13"/>
      <c r="J6" s="13"/>
    </row>
    <row r="7" customFormat="false" ht="35.05" hidden="false" customHeight="false" outlineLevel="0" collapsed="false">
      <c r="A7" s="12" t="s">
        <v>334</v>
      </c>
      <c r="B7" s="12" t="s">
        <v>40</v>
      </c>
      <c r="C7" s="12" t="s">
        <v>335</v>
      </c>
      <c r="D7" s="12" t="s">
        <v>97</v>
      </c>
      <c r="E7" s="12" t="s">
        <v>51</v>
      </c>
      <c r="F7" s="12" t="s">
        <v>17</v>
      </c>
      <c r="G7" s="12" t="s">
        <v>336</v>
      </c>
      <c r="H7" s="13"/>
      <c r="I7" s="13"/>
      <c r="J7" s="13"/>
    </row>
    <row r="8" customFormat="false" ht="35.05" hidden="false" customHeight="false" outlineLevel="0" collapsed="false">
      <c r="A8" s="12" t="s">
        <v>337</v>
      </c>
      <c r="B8" s="12" t="s">
        <v>40</v>
      </c>
      <c r="C8" s="12" t="s">
        <v>338</v>
      </c>
      <c r="D8" s="12" t="s">
        <v>97</v>
      </c>
      <c r="E8" s="12" t="s">
        <v>51</v>
      </c>
      <c r="F8" s="12" t="s">
        <v>17</v>
      </c>
      <c r="G8" s="12" t="s">
        <v>339</v>
      </c>
      <c r="H8" s="13"/>
      <c r="I8" s="13"/>
      <c r="J8" s="13"/>
    </row>
    <row r="9" customFormat="false" ht="35.05" hidden="false" customHeight="false" outlineLevel="0" collapsed="false">
      <c r="A9" s="12" t="s">
        <v>340</v>
      </c>
      <c r="B9" s="12" t="s">
        <v>54</v>
      </c>
      <c r="C9" s="12" t="s">
        <v>341</v>
      </c>
      <c r="D9" s="12" t="s">
        <v>42</v>
      </c>
      <c r="E9" s="12" t="s">
        <v>43</v>
      </c>
      <c r="F9" s="12" t="s">
        <v>17</v>
      </c>
      <c r="G9" s="12" t="s">
        <v>342</v>
      </c>
      <c r="H9" s="13"/>
      <c r="I9" s="13"/>
      <c r="J9" s="13"/>
    </row>
    <row r="10" customFormat="false" ht="35.05" hidden="false" customHeight="false" outlineLevel="0" collapsed="false">
      <c r="A10" s="12" t="s">
        <v>343</v>
      </c>
      <c r="B10" s="12" t="s">
        <v>54</v>
      </c>
      <c r="C10" s="12" t="s">
        <v>344</v>
      </c>
      <c r="D10" s="12" t="s">
        <v>97</v>
      </c>
      <c r="E10" s="12" t="s">
        <v>51</v>
      </c>
      <c r="F10" s="12" t="s">
        <v>17</v>
      </c>
      <c r="G10" s="12" t="s">
        <v>345</v>
      </c>
      <c r="H10" s="13"/>
      <c r="I10" s="13"/>
      <c r="J10" s="13"/>
    </row>
    <row r="11" customFormat="false" ht="35.05" hidden="false" customHeight="false" outlineLevel="0" collapsed="false">
      <c r="A11" s="12" t="s">
        <v>346</v>
      </c>
      <c r="B11" s="12" t="s">
        <v>54</v>
      </c>
      <c r="C11" s="12" t="s">
        <v>347</v>
      </c>
      <c r="D11" s="12" t="s">
        <v>50</v>
      </c>
      <c r="E11" s="12" t="s">
        <v>51</v>
      </c>
      <c r="F11" s="12" t="s">
        <v>17</v>
      </c>
      <c r="G11" s="12" t="s">
        <v>348</v>
      </c>
      <c r="H11" s="13"/>
      <c r="I11" s="13"/>
      <c r="J11" s="13"/>
    </row>
    <row r="12" customFormat="false" ht="35.05" hidden="false" customHeight="false" outlineLevel="0" collapsed="false">
      <c r="A12" s="12" t="s">
        <v>349</v>
      </c>
      <c r="B12" s="12" t="s">
        <v>54</v>
      </c>
      <c r="C12" s="12" t="s">
        <v>350</v>
      </c>
      <c r="D12" s="12" t="s">
        <v>42</v>
      </c>
      <c r="E12" s="12" t="s">
        <v>51</v>
      </c>
      <c r="F12" s="12" t="s">
        <v>17</v>
      </c>
      <c r="G12" s="12" t="s">
        <v>351</v>
      </c>
      <c r="H12" s="13"/>
      <c r="I12" s="13"/>
      <c r="J12" s="13"/>
    </row>
    <row r="13" customFormat="false" ht="21.75" hidden="false" customHeight="true" outlineLevel="0" collapsed="false">
      <c r="A13" s="9" t="s">
        <v>352</v>
      </c>
      <c r="B13" s="9"/>
      <c r="C13" s="9"/>
      <c r="D13" s="9"/>
      <c r="E13" s="9"/>
      <c r="F13" s="9"/>
      <c r="G13" s="9"/>
      <c r="H13" s="10"/>
      <c r="I13" s="11"/>
      <c r="J13" s="11"/>
    </row>
    <row r="14" customFormat="false" ht="35.05" hidden="false" customHeight="false" outlineLevel="0" collapsed="false">
      <c r="A14" s="12" t="s">
        <v>353</v>
      </c>
      <c r="B14" s="12" t="s">
        <v>40</v>
      </c>
      <c r="C14" s="12" t="s">
        <v>354</v>
      </c>
      <c r="D14" s="12" t="s">
        <v>50</v>
      </c>
      <c r="E14" s="12" t="s">
        <v>51</v>
      </c>
      <c r="F14" s="12" t="s">
        <v>17</v>
      </c>
      <c r="G14" s="12" t="s">
        <v>355</v>
      </c>
      <c r="H14" s="13"/>
      <c r="I14" s="13"/>
      <c r="J14" s="13"/>
    </row>
    <row r="15" customFormat="false" ht="35.05" hidden="false" customHeight="false" outlineLevel="0" collapsed="false">
      <c r="A15" s="12" t="s">
        <v>356</v>
      </c>
      <c r="B15" s="12" t="s">
        <v>40</v>
      </c>
      <c r="C15" s="12" t="s">
        <v>357</v>
      </c>
      <c r="D15" s="12" t="s">
        <v>97</v>
      </c>
      <c r="E15" s="12" t="s">
        <v>51</v>
      </c>
      <c r="F15" s="12" t="s">
        <v>17</v>
      </c>
      <c r="G15" s="12" t="s">
        <v>358</v>
      </c>
      <c r="H15" s="13"/>
      <c r="I15" s="13"/>
      <c r="J15" s="13"/>
    </row>
    <row r="16" customFormat="false" ht="23.85" hidden="false" customHeight="false" outlineLevel="0" collapsed="false">
      <c r="A16" s="12" t="s">
        <v>359</v>
      </c>
      <c r="B16" s="12" t="s">
        <v>40</v>
      </c>
      <c r="C16" s="12" t="s">
        <v>360</v>
      </c>
      <c r="D16" s="12" t="s">
        <v>91</v>
      </c>
      <c r="E16" s="12" t="s">
        <v>51</v>
      </c>
      <c r="F16" s="12" t="s">
        <v>17</v>
      </c>
      <c r="G16" s="12"/>
      <c r="H16" s="13"/>
      <c r="I16" s="13"/>
      <c r="J16" s="13"/>
    </row>
    <row r="17" customFormat="false" ht="23.85" hidden="false" customHeight="false" outlineLevel="0" collapsed="false">
      <c r="A17" s="12" t="s">
        <v>361</v>
      </c>
      <c r="B17" s="12" t="s">
        <v>40</v>
      </c>
      <c r="C17" s="12" t="s">
        <v>362</v>
      </c>
      <c r="D17" s="12" t="s">
        <v>279</v>
      </c>
      <c r="E17" s="12" t="s">
        <v>280</v>
      </c>
      <c r="F17" s="12" t="s">
        <v>18</v>
      </c>
      <c r="G17" s="12"/>
      <c r="H17" s="13"/>
      <c r="I17" s="13"/>
      <c r="J17" s="13"/>
    </row>
    <row r="18" customFormat="false" ht="35.05" hidden="false" customHeight="false" outlineLevel="0" collapsed="false">
      <c r="A18" s="12" t="s">
        <v>363</v>
      </c>
      <c r="B18" s="12" t="s">
        <v>54</v>
      </c>
      <c r="C18" s="12" t="s">
        <v>364</v>
      </c>
      <c r="D18" s="12" t="s">
        <v>50</v>
      </c>
      <c r="E18" s="12" t="s">
        <v>51</v>
      </c>
      <c r="F18" s="12" t="s">
        <v>17</v>
      </c>
      <c r="G18" s="12" t="s">
        <v>365</v>
      </c>
      <c r="H18" s="13"/>
      <c r="I18" s="13"/>
      <c r="J18" s="13"/>
    </row>
    <row r="19" customFormat="false" ht="35.05" hidden="false" customHeight="false" outlineLevel="0" collapsed="false">
      <c r="A19" s="12" t="s">
        <v>366</v>
      </c>
      <c r="B19" s="12" t="s">
        <v>54</v>
      </c>
      <c r="C19" s="12" t="s">
        <v>367</v>
      </c>
      <c r="D19" s="12" t="s">
        <v>91</v>
      </c>
      <c r="E19" s="12" t="s">
        <v>51</v>
      </c>
      <c r="F19" s="12" t="s">
        <v>17</v>
      </c>
      <c r="G19" s="12"/>
      <c r="H19" s="13"/>
      <c r="I19" s="13"/>
      <c r="J19" s="13"/>
    </row>
    <row r="20" customFormat="false" ht="35.05" hidden="false" customHeight="false" outlineLevel="0" collapsed="false">
      <c r="A20" s="12" t="s">
        <v>368</v>
      </c>
      <c r="B20" s="12" t="s">
        <v>54</v>
      </c>
      <c r="C20" s="12" t="s">
        <v>369</v>
      </c>
      <c r="D20" s="12" t="s">
        <v>97</v>
      </c>
      <c r="E20" s="12" t="s">
        <v>51</v>
      </c>
      <c r="F20" s="12" t="s">
        <v>17</v>
      </c>
      <c r="G20" s="12" t="s">
        <v>370</v>
      </c>
      <c r="H20" s="13"/>
      <c r="I20" s="13"/>
      <c r="J20" s="13"/>
    </row>
    <row r="21" customFormat="false" ht="35.05" hidden="false" customHeight="false" outlineLevel="0" collapsed="false">
      <c r="A21" s="12" t="s">
        <v>371</v>
      </c>
      <c r="B21" s="12" t="s">
        <v>54</v>
      </c>
      <c r="C21" s="12" t="s">
        <v>372</v>
      </c>
      <c r="D21" s="12" t="s">
        <v>42</v>
      </c>
      <c r="E21" s="12" t="s">
        <v>43</v>
      </c>
      <c r="F21" s="12" t="s">
        <v>17</v>
      </c>
      <c r="G21" s="12" t="s">
        <v>373</v>
      </c>
      <c r="H21" s="13"/>
      <c r="I21" s="13"/>
      <c r="J21" s="13"/>
    </row>
    <row r="22" customFormat="false" ht="35.05" hidden="false" customHeight="false" outlineLevel="0" collapsed="false">
      <c r="A22" s="12" t="s">
        <v>374</v>
      </c>
      <c r="B22" s="12" t="s">
        <v>54</v>
      </c>
      <c r="C22" s="12" t="s">
        <v>375</v>
      </c>
      <c r="D22" s="12" t="s">
        <v>97</v>
      </c>
      <c r="E22" s="12" t="s">
        <v>51</v>
      </c>
      <c r="F22" s="12" t="s">
        <v>17</v>
      </c>
      <c r="G22" s="12" t="s">
        <v>376</v>
      </c>
      <c r="H22" s="13"/>
      <c r="I22" s="13"/>
      <c r="J22" s="13"/>
    </row>
    <row r="23" customFormat="false" ht="21.75" hidden="false" customHeight="true" outlineLevel="0" collapsed="false">
      <c r="A23" s="9" t="s">
        <v>377</v>
      </c>
      <c r="B23" s="9"/>
      <c r="C23" s="9"/>
      <c r="D23" s="9"/>
      <c r="E23" s="9"/>
      <c r="F23" s="9"/>
      <c r="G23" s="9"/>
      <c r="H23" s="10"/>
      <c r="I23" s="11"/>
      <c r="J23" s="11"/>
    </row>
    <row r="24" customFormat="false" ht="35.05" hidden="false" customHeight="false" outlineLevel="0" collapsed="false">
      <c r="A24" s="12" t="s">
        <v>378</v>
      </c>
      <c r="B24" s="12" t="s">
        <v>40</v>
      </c>
      <c r="C24" s="12" t="s">
        <v>379</v>
      </c>
      <c r="D24" s="12" t="s">
        <v>42</v>
      </c>
      <c r="E24" s="12" t="s">
        <v>43</v>
      </c>
      <c r="F24" s="12" t="s">
        <v>17</v>
      </c>
      <c r="G24" s="12" t="s">
        <v>380</v>
      </c>
      <c r="H24" s="13"/>
      <c r="I24" s="13"/>
      <c r="J24" s="13"/>
    </row>
    <row r="25" customFormat="false" ht="35.05" hidden="false" customHeight="false" outlineLevel="0" collapsed="false">
      <c r="A25" s="12" t="s">
        <v>381</v>
      </c>
      <c r="B25" s="12" t="s">
        <v>40</v>
      </c>
      <c r="C25" s="12" t="s">
        <v>382</v>
      </c>
      <c r="D25" s="12" t="s">
        <v>42</v>
      </c>
      <c r="E25" s="12" t="s">
        <v>43</v>
      </c>
      <c r="F25" s="12" t="s">
        <v>17</v>
      </c>
      <c r="G25" s="12" t="s">
        <v>383</v>
      </c>
      <c r="H25" s="13"/>
      <c r="I25" s="13"/>
      <c r="J25" s="13"/>
    </row>
    <row r="26" customFormat="false" ht="35.05" hidden="false" customHeight="false" outlineLevel="0" collapsed="false">
      <c r="A26" s="12" t="s">
        <v>384</v>
      </c>
      <c r="B26" s="12" t="s">
        <v>40</v>
      </c>
      <c r="C26" s="12" t="s">
        <v>385</v>
      </c>
      <c r="D26" s="12" t="s">
        <v>42</v>
      </c>
      <c r="E26" s="12" t="s">
        <v>43</v>
      </c>
      <c r="F26" s="12" t="s">
        <v>17</v>
      </c>
      <c r="G26" s="12" t="s">
        <v>386</v>
      </c>
      <c r="H26" s="13"/>
      <c r="I26" s="13"/>
      <c r="J26" s="13"/>
    </row>
    <row r="27" customFormat="false" ht="35.05" hidden="false" customHeight="false" outlineLevel="0" collapsed="false">
      <c r="A27" s="12" t="s">
        <v>387</v>
      </c>
      <c r="B27" s="12" t="s">
        <v>54</v>
      </c>
      <c r="C27" s="12" t="s">
        <v>388</v>
      </c>
      <c r="D27" s="12" t="s">
        <v>42</v>
      </c>
      <c r="E27" s="12" t="s">
        <v>43</v>
      </c>
      <c r="F27" s="12" t="s">
        <v>17</v>
      </c>
      <c r="G27" s="12" t="s">
        <v>389</v>
      </c>
      <c r="H27" s="13"/>
      <c r="I27" s="13"/>
      <c r="J27" s="13"/>
    </row>
    <row r="28" customFormat="false" ht="23.85" hidden="false" customHeight="false" outlineLevel="0" collapsed="false">
      <c r="A28" s="12" t="s">
        <v>390</v>
      </c>
      <c r="B28" s="12" t="s">
        <v>54</v>
      </c>
      <c r="C28" s="12" t="s">
        <v>391</v>
      </c>
      <c r="D28" s="12" t="s">
        <v>42</v>
      </c>
      <c r="E28" s="12" t="s">
        <v>43</v>
      </c>
      <c r="F28" s="12" t="s">
        <v>17</v>
      </c>
      <c r="G28" s="12" t="s">
        <v>392</v>
      </c>
      <c r="H28" s="13"/>
      <c r="I28" s="13"/>
      <c r="J28" s="13"/>
    </row>
    <row r="29" customFormat="false" ht="35.05" hidden="false" customHeight="false" outlineLevel="0" collapsed="false">
      <c r="A29" s="12" t="s">
        <v>393</v>
      </c>
      <c r="B29" s="12" t="s">
        <v>54</v>
      </c>
      <c r="C29" s="12" t="s">
        <v>394</v>
      </c>
      <c r="D29" s="12" t="s">
        <v>42</v>
      </c>
      <c r="E29" s="12" t="s">
        <v>43</v>
      </c>
      <c r="F29" s="12" t="s">
        <v>17</v>
      </c>
      <c r="G29" s="12" t="s">
        <v>395</v>
      </c>
      <c r="H29" s="13"/>
      <c r="I29" s="13"/>
      <c r="J29" s="13"/>
    </row>
    <row r="30" customFormat="false" ht="21.75" hidden="false" customHeight="true" outlineLevel="0" collapsed="false">
      <c r="A30" s="9" t="s">
        <v>396</v>
      </c>
      <c r="B30" s="9"/>
      <c r="C30" s="9"/>
      <c r="D30" s="9"/>
      <c r="E30" s="9"/>
      <c r="F30" s="9"/>
      <c r="G30" s="9"/>
      <c r="H30" s="10"/>
      <c r="I30" s="11"/>
      <c r="J30" s="11"/>
    </row>
    <row r="31" customFormat="false" ht="35.05" hidden="false" customHeight="false" outlineLevel="0" collapsed="false">
      <c r="A31" s="12" t="s">
        <v>397</v>
      </c>
      <c r="B31" s="12" t="s">
        <v>40</v>
      </c>
      <c r="C31" s="12" t="s">
        <v>398</v>
      </c>
      <c r="D31" s="12" t="s">
        <v>50</v>
      </c>
      <c r="E31" s="12" t="s">
        <v>51</v>
      </c>
      <c r="F31" s="12" t="s">
        <v>17</v>
      </c>
      <c r="G31" s="12" t="s">
        <v>399</v>
      </c>
      <c r="H31" s="13"/>
      <c r="I31" s="13"/>
      <c r="J31" s="13"/>
    </row>
    <row r="32" customFormat="false" ht="23.85" hidden="false" customHeight="false" outlineLevel="0" collapsed="false">
      <c r="A32" s="12" t="s">
        <v>400</v>
      </c>
      <c r="B32" s="12" t="s">
        <v>40</v>
      </c>
      <c r="C32" s="12" t="s">
        <v>401</v>
      </c>
      <c r="D32" s="12" t="s">
        <v>50</v>
      </c>
      <c r="E32" s="12" t="s">
        <v>51</v>
      </c>
      <c r="F32" s="12" t="s">
        <v>17</v>
      </c>
      <c r="G32" s="12" t="s">
        <v>402</v>
      </c>
      <c r="H32" s="13"/>
      <c r="I32" s="13"/>
      <c r="J32" s="13"/>
    </row>
    <row r="33" customFormat="false" ht="35.05" hidden="false" customHeight="false" outlineLevel="0" collapsed="false">
      <c r="A33" s="12" t="s">
        <v>403</v>
      </c>
      <c r="B33" s="12" t="s">
        <v>40</v>
      </c>
      <c r="C33" s="12" t="s">
        <v>404</v>
      </c>
      <c r="D33" s="12" t="s">
        <v>50</v>
      </c>
      <c r="E33" s="12" t="s">
        <v>51</v>
      </c>
      <c r="F33" s="12" t="s">
        <v>17</v>
      </c>
      <c r="G33" s="12" t="s">
        <v>405</v>
      </c>
      <c r="H33" s="13"/>
      <c r="I33" s="13"/>
      <c r="J33" s="13"/>
    </row>
    <row r="34" customFormat="false" ht="23.85" hidden="false" customHeight="false" outlineLevel="0" collapsed="false">
      <c r="A34" s="12" t="s">
        <v>406</v>
      </c>
      <c r="B34" s="12" t="s">
        <v>40</v>
      </c>
      <c r="C34" s="12" t="s">
        <v>407</v>
      </c>
      <c r="D34" s="12" t="s">
        <v>91</v>
      </c>
      <c r="E34" s="12" t="s">
        <v>51</v>
      </c>
      <c r="F34" s="12" t="s">
        <v>17</v>
      </c>
      <c r="G34" s="12"/>
      <c r="H34" s="13"/>
      <c r="I34" s="13"/>
      <c r="J34" s="13"/>
    </row>
    <row r="35" customFormat="false" ht="35.05" hidden="false" customHeight="false" outlineLevel="0" collapsed="false">
      <c r="A35" s="12" t="s">
        <v>408</v>
      </c>
      <c r="B35" s="12" t="s">
        <v>54</v>
      </c>
      <c r="C35" s="12" t="s">
        <v>409</v>
      </c>
      <c r="D35" s="12" t="s">
        <v>50</v>
      </c>
      <c r="E35" s="12" t="s">
        <v>51</v>
      </c>
      <c r="F35" s="12" t="s">
        <v>17</v>
      </c>
      <c r="G35" s="12" t="s">
        <v>410</v>
      </c>
      <c r="H35" s="13"/>
      <c r="I35" s="13"/>
      <c r="J35" s="13"/>
    </row>
    <row r="36" customFormat="false" ht="35.05" hidden="false" customHeight="false" outlineLevel="0" collapsed="false">
      <c r="A36" s="12" t="s">
        <v>411</v>
      </c>
      <c r="B36" s="12" t="s">
        <v>54</v>
      </c>
      <c r="C36" s="12" t="s">
        <v>412</v>
      </c>
      <c r="D36" s="12" t="s">
        <v>50</v>
      </c>
      <c r="E36" s="12" t="s">
        <v>51</v>
      </c>
      <c r="F36" s="12" t="s">
        <v>17</v>
      </c>
      <c r="G36" s="12" t="s">
        <v>413</v>
      </c>
      <c r="H36" s="13"/>
      <c r="I36" s="13"/>
      <c r="J36" s="13"/>
    </row>
    <row r="37" customFormat="false" ht="23.85" hidden="false" customHeight="false" outlineLevel="0" collapsed="false">
      <c r="A37" s="12" t="s">
        <v>414</v>
      </c>
      <c r="B37" s="12" t="s">
        <v>54</v>
      </c>
      <c r="C37" s="12" t="s">
        <v>415</v>
      </c>
      <c r="D37" s="12" t="s">
        <v>91</v>
      </c>
      <c r="E37" s="12" t="s">
        <v>51</v>
      </c>
      <c r="F37" s="12" t="s">
        <v>17</v>
      </c>
      <c r="G37" s="12"/>
      <c r="H37" s="13"/>
      <c r="I37" s="13"/>
      <c r="J37" s="13"/>
    </row>
    <row r="38" customFormat="false" ht="35.05" hidden="false" customHeight="false" outlineLevel="0" collapsed="false">
      <c r="A38" s="12" t="s">
        <v>416</v>
      </c>
      <c r="B38" s="12" t="s">
        <v>54</v>
      </c>
      <c r="C38" s="12" t="s">
        <v>417</v>
      </c>
      <c r="D38" s="12" t="s">
        <v>50</v>
      </c>
      <c r="E38" s="12" t="s">
        <v>51</v>
      </c>
      <c r="F38" s="12" t="s">
        <v>17</v>
      </c>
      <c r="G38" s="12" t="s">
        <v>418</v>
      </c>
      <c r="H38" s="13"/>
      <c r="I38" s="13"/>
      <c r="J38" s="13"/>
    </row>
    <row r="39" customFormat="false" ht="21.75" hidden="false" customHeight="true" outlineLevel="0" collapsed="false">
      <c r="A39" s="9" t="s">
        <v>419</v>
      </c>
      <c r="B39" s="9"/>
      <c r="C39" s="9"/>
      <c r="D39" s="9"/>
      <c r="E39" s="9"/>
      <c r="F39" s="9"/>
      <c r="G39" s="9"/>
      <c r="H39" s="10"/>
      <c r="I39" s="11"/>
      <c r="J39" s="11"/>
    </row>
    <row r="40" customFormat="false" ht="35.05" hidden="false" customHeight="false" outlineLevel="0" collapsed="false">
      <c r="A40" s="12" t="s">
        <v>420</v>
      </c>
      <c r="B40" s="12" t="s">
        <v>40</v>
      </c>
      <c r="C40" s="12" t="s">
        <v>421</v>
      </c>
      <c r="D40" s="12" t="s">
        <v>50</v>
      </c>
      <c r="E40" s="12" t="s">
        <v>51</v>
      </c>
      <c r="F40" s="12" t="s">
        <v>17</v>
      </c>
      <c r="G40" s="12" t="s">
        <v>422</v>
      </c>
      <c r="H40" s="13"/>
      <c r="I40" s="13"/>
      <c r="J40" s="13"/>
    </row>
    <row r="41" customFormat="false" ht="46.25" hidden="false" customHeight="false" outlineLevel="0" collapsed="false">
      <c r="A41" s="12" t="s">
        <v>423</v>
      </c>
      <c r="B41" s="12" t="s">
        <v>40</v>
      </c>
      <c r="C41" s="12" t="s">
        <v>424</v>
      </c>
      <c r="D41" s="12" t="s">
        <v>50</v>
      </c>
      <c r="E41" s="12" t="s">
        <v>51</v>
      </c>
      <c r="F41" s="12" t="s">
        <v>17</v>
      </c>
      <c r="G41" s="12" t="s">
        <v>425</v>
      </c>
      <c r="H41" s="13"/>
      <c r="I41" s="13"/>
      <c r="J41" s="13"/>
    </row>
    <row r="42" customFormat="false" ht="46.25" hidden="false" customHeight="false" outlineLevel="0" collapsed="false">
      <c r="A42" s="12" t="s">
        <v>426</v>
      </c>
      <c r="B42" s="12" t="s">
        <v>40</v>
      </c>
      <c r="C42" s="12" t="s">
        <v>427</v>
      </c>
      <c r="D42" s="12" t="s">
        <v>250</v>
      </c>
      <c r="E42" s="12" t="s">
        <v>51</v>
      </c>
      <c r="F42" s="12" t="s">
        <v>17</v>
      </c>
      <c r="G42" s="12" t="s">
        <v>428</v>
      </c>
      <c r="H42" s="13"/>
      <c r="I42" s="13"/>
      <c r="J42" s="13"/>
    </row>
    <row r="43" customFormat="false" ht="35.05" hidden="false" customHeight="false" outlineLevel="0" collapsed="false">
      <c r="A43" s="12" t="s">
        <v>429</v>
      </c>
      <c r="B43" s="12" t="s">
        <v>40</v>
      </c>
      <c r="C43" s="12" t="s">
        <v>430</v>
      </c>
      <c r="D43" s="12" t="s">
        <v>50</v>
      </c>
      <c r="E43" s="12" t="s">
        <v>51</v>
      </c>
      <c r="F43" s="12" t="s">
        <v>17</v>
      </c>
      <c r="G43" s="12" t="s">
        <v>431</v>
      </c>
      <c r="H43" s="13"/>
      <c r="I43" s="13"/>
      <c r="J43" s="13"/>
    </row>
    <row r="44" customFormat="false" ht="46.25" hidden="false" customHeight="false" outlineLevel="0" collapsed="false">
      <c r="A44" s="12" t="s">
        <v>432</v>
      </c>
      <c r="B44" s="12" t="s">
        <v>54</v>
      </c>
      <c r="C44" s="12" t="s">
        <v>433</v>
      </c>
      <c r="D44" s="12" t="s">
        <v>50</v>
      </c>
      <c r="E44" s="12" t="s">
        <v>51</v>
      </c>
      <c r="F44" s="12" t="s">
        <v>17</v>
      </c>
      <c r="G44" s="12" t="s">
        <v>434</v>
      </c>
      <c r="H44" s="13"/>
      <c r="I44" s="13"/>
      <c r="J44" s="13"/>
    </row>
    <row r="45" customFormat="false" ht="46.25" hidden="false" customHeight="false" outlineLevel="0" collapsed="false">
      <c r="A45" s="12" t="s">
        <v>435</v>
      </c>
      <c r="B45" s="12" t="s">
        <v>54</v>
      </c>
      <c r="C45" s="12" t="s">
        <v>436</v>
      </c>
      <c r="D45" s="12" t="s">
        <v>50</v>
      </c>
      <c r="E45" s="12" t="s">
        <v>51</v>
      </c>
      <c r="F45" s="12" t="s">
        <v>17</v>
      </c>
      <c r="G45" s="12" t="s">
        <v>437</v>
      </c>
      <c r="H45" s="13"/>
      <c r="I45" s="13"/>
      <c r="J45" s="13"/>
    </row>
    <row r="46" customFormat="false" ht="46.25" hidden="false" customHeight="false" outlineLevel="0" collapsed="false">
      <c r="A46" s="12" t="s">
        <v>438</v>
      </c>
      <c r="B46" s="12" t="s">
        <v>54</v>
      </c>
      <c r="C46" s="12" t="s">
        <v>439</v>
      </c>
      <c r="D46" s="12" t="s">
        <v>250</v>
      </c>
      <c r="E46" s="12" t="s">
        <v>51</v>
      </c>
      <c r="F46" s="12" t="s">
        <v>17</v>
      </c>
      <c r="G46" s="12" t="s">
        <v>440</v>
      </c>
      <c r="H46" s="13"/>
      <c r="I46" s="13"/>
      <c r="J46" s="13"/>
    </row>
    <row r="47" customFormat="false" ht="35.05" hidden="false" customHeight="false" outlineLevel="0" collapsed="false">
      <c r="A47" s="12" t="s">
        <v>441</v>
      </c>
      <c r="B47" s="12" t="s">
        <v>54</v>
      </c>
      <c r="C47" s="12" t="s">
        <v>442</v>
      </c>
      <c r="D47" s="12" t="s">
        <v>50</v>
      </c>
      <c r="E47" s="12" t="s">
        <v>51</v>
      </c>
      <c r="F47" s="12" t="s">
        <v>17</v>
      </c>
      <c r="G47" s="12" t="s">
        <v>443</v>
      </c>
      <c r="H47" s="13"/>
      <c r="I47" s="13"/>
      <c r="J47" s="13"/>
    </row>
    <row r="48" customFormat="false" ht="35.05" hidden="false" customHeight="false" outlineLevel="0" collapsed="false">
      <c r="A48" s="12" t="s">
        <v>444</v>
      </c>
      <c r="B48" s="12" t="s">
        <v>54</v>
      </c>
      <c r="C48" s="12" t="s">
        <v>445</v>
      </c>
      <c r="D48" s="12" t="s">
        <v>50</v>
      </c>
      <c r="E48" s="12" t="s">
        <v>51</v>
      </c>
      <c r="F48" s="12" t="s">
        <v>17</v>
      </c>
      <c r="G48" s="12" t="s">
        <v>446</v>
      </c>
      <c r="H48" s="13"/>
      <c r="I48" s="13"/>
      <c r="J48" s="13"/>
    </row>
    <row r="49" customFormat="false" ht="21.75" hidden="false" customHeight="true" outlineLevel="0" collapsed="false">
      <c r="A49" s="9" t="s">
        <v>447</v>
      </c>
      <c r="B49" s="9"/>
      <c r="C49" s="9"/>
      <c r="D49" s="9"/>
      <c r="E49" s="9"/>
      <c r="F49" s="9"/>
      <c r="G49" s="9"/>
      <c r="H49" s="10"/>
      <c r="I49" s="11"/>
      <c r="J49" s="11"/>
    </row>
    <row r="50" customFormat="false" ht="35.05" hidden="false" customHeight="false" outlineLevel="0" collapsed="false">
      <c r="A50" s="12" t="s">
        <v>448</v>
      </c>
      <c r="B50" s="12" t="s">
        <v>40</v>
      </c>
      <c r="C50" s="12" t="s">
        <v>449</v>
      </c>
      <c r="D50" s="12" t="s">
        <v>42</v>
      </c>
      <c r="E50" s="12" t="s">
        <v>51</v>
      </c>
      <c r="F50" s="12" t="s">
        <v>17</v>
      </c>
      <c r="G50" s="12" t="s">
        <v>450</v>
      </c>
      <c r="H50" s="13"/>
      <c r="I50" s="13"/>
      <c r="J50" s="13"/>
    </row>
    <row r="51" customFormat="false" ht="46.25" hidden="false" customHeight="false" outlineLevel="0" collapsed="false">
      <c r="A51" s="12" t="s">
        <v>451</v>
      </c>
      <c r="B51" s="12" t="s">
        <v>40</v>
      </c>
      <c r="C51" s="12" t="s">
        <v>452</v>
      </c>
      <c r="D51" s="12" t="s">
        <v>97</v>
      </c>
      <c r="E51" s="12" t="s">
        <v>51</v>
      </c>
      <c r="F51" s="12" t="s">
        <v>17</v>
      </c>
      <c r="G51" s="12" t="s">
        <v>453</v>
      </c>
      <c r="H51" s="13"/>
      <c r="I51" s="13"/>
      <c r="J51" s="13"/>
    </row>
    <row r="52" customFormat="false" ht="35.05" hidden="false" customHeight="false" outlineLevel="0" collapsed="false">
      <c r="A52" s="12" t="s">
        <v>454</v>
      </c>
      <c r="B52" s="12" t="s">
        <v>40</v>
      </c>
      <c r="C52" s="12" t="s">
        <v>455</v>
      </c>
      <c r="D52" s="12" t="s">
        <v>97</v>
      </c>
      <c r="E52" s="12" t="s">
        <v>51</v>
      </c>
      <c r="F52" s="12" t="s">
        <v>17</v>
      </c>
      <c r="G52" s="12" t="s">
        <v>456</v>
      </c>
      <c r="H52" s="13"/>
      <c r="I52" s="13"/>
      <c r="J52" s="13"/>
    </row>
    <row r="53" customFormat="false" ht="46.25" hidden="false" customHeight="false" outlineLevel="0" collapsed="false">
      <c r="A53" s="12" t="s">
        <v>457</v>
      </c>
      <c r="B53" s="12" t="s">
        <v>40</v>
      </c>
      <c r="C53" s="12" t="s">
        <v>458</v>
      </c>
      <c r="D53" s="12" t="s">
        <v>50</v>
      </c>
      <c r="E53" s="12" t="s">
        <v>51</v>
      </c>
      <c r="F53" s="12" t="s">
        <v>17</v>
      </c>
      <c r="G53" s="12" t="s">
        <v>459</v>
      </c>
      <c r="H53" s="13"/>
      <c r="I53" s="13"/>
      <c r="J53" s="13"/>
    </row>
    <row r="54" customFormat="false" ht="23.85" hidden="false" customHeight="false" outlineLevel="0" collapsed="false">
      <c r="A54" s="12" t="s">
        <v>460</v>
      </c>
      <c r="B54" s="12" t="s">
        <v>54</v>
      </c>
      <c r="C54" s="12" t="s">
        <v>461</v>
      </c>
      <c r="D54" s="12" t="s">
        <v>42</v>
      </c>
      <c r="E54" s="12" t="s">
        <v>43</v>
      </c>
      <c r="F54" s="12" t="s">
        <v>17</v>
      </c>
      <c r="G54" s="12" t="s">
        <v>462</v>
      </c>
      <c r="H54" s="13"/>
      <c r="I54" s="13"/>
      <c r="J54" s="13"/>
    </row>
    <row r="55" customFormat="false" ht="46.25" hidden="false" customHeight="false" outlineLevel="0" collapsed="false">
      <c r="A55" s="12" t="s">
        <v>463</v>
      </c>
      <c r="B55" s="12" t="s">
        <v>54</v>
      </c>
      <c r="C55" s="12" t="s">
        <v>464</v>
      </c>
      <c r="D55" s="12" t="s">
        <v>97</v>
      </c>
      <c r="E55" s="12" t="s">
        <v>51</v>
      </c>
      <c r="F55" s="12" t="s">
        <v>17</v>
      </c>
      <c r="G55" s="12" t="s">
        <v>465</v>
      </c>
      <c r="H55" s="13"/>
      <c r="I55" s="13"/>
      <c r="J55" s="13"/>
    </row>
    <row r="56" customFormat="false" ht="35.05" hidden="false" customHeight="false" outlineLevel="0" collapsed="false">
      <c r="A56" s="12" t="s">
        <v>466</v>
      </c>
      <c r="B56" s="12" t="s">
        <v>54</v>
      </c>
      <c r="C56" s="12" t="s">
        <v>467</v>
      </c>
      <c r="D56" s="12" t="s">
        <v>50</v>
      </c>
      <c r="E56" s="12" t="s">
        <v>51</v>
      </c>
      <c r="F56" s="12" t="s">
        <v>17</v>
      </c>
      <c r="G56" s="12" t="s">
        <v>468</v>
      </c>
      <c r="H56" s="13"/>
      <c r="I56" s="13"/>
      <c r="J56" s="13"/>
    </row>
    <row r="57" customFormat="false" ht="46.25" hidden="false" customHeight="false" outlineLevel="0" collapsed="false">
      <c r="A57" s="12" t="s">
        <v>469</v>
      </c>
      <c r="B57" s="12" t="s">
        <v>54</v>
      </c>
      <c r="C57" s="12" t="s">
        <v>470</v>
      </c>
      <c r="D57" s="12" t="s">
        <v>50</v>
      </c>
      <c r="E57" s="12" t="s">
        <v>51</v>
      </c>
      <c r="F57" s="12" t="s">
        <v>17</v>
      </c>
      <c r="G57" s="12" t="s">
        <v>471</v>
      </c>
      <c r="H57" s="13"/>
      <c r="I57" s="13"/>
      <c r="J57" s="13"/>
    </row>
    <row r="58" customFormat="false" ht="46.25" hidden="false" customHeight="false" outlineLevel="0" collapsed="false">
      <c r="A58" s="12" t="s">
        <v>472</v>
      </c>
      <c r="B58" s="12" t="s">
        <v>54</v>
      </c>
      <c r="C58" s="12" t="s">
        <v>473</v>
      </c>
      <c r="D58" s="12" t="s">
        <v>97</v>
      </c>
      <c r="E58" s="12" t="s">
        <v>51</v>
      </c>
      <c r="F58" s="12" t="s">
        <v>17</v>
      </c>
      <c r="G58" s="12" t="s">
        <v>474</v>
      </c>
      <c r="H58" s="13"/>
      <c r="I58" s="13"/>
      <c r="J58" s="13"/>
    </row>
  </sheetData>
  <mergeCells count="12">
    <mergeCell ref="A4:G4"/>
    <mergeCell ref="I4:J4"/>
    <mergeCell ref="A13:G13"/>
    <mergeCell ref="I13:J13"/>
    <mergeCell ref="A23:G23"/>
    <mergeCell ref="I23:J23"/>
    <mergeCell ref="A30:G30"/>
    <mergeCell ref="I30:J30"/>
    <mergeCell ref="A39:G39"/>
    <mergeCell ref="I39:J39"/>
    <mergeCell ref="A49:G49"/>
    <mergeCell ref="I49:J49"/>
  </mergeCells>
  <dataValidations count="1">
    <dataValidation allowBlank="true" errorStyle="stop" operator="between" showDropDown="false" showErrorMessage="false" showInputMessage="false" sqref="H5:H12 H14:H22 H24:H29 H31:H38 H40:H48 H50:H58" type="list">
      <formula1>"Use,Do not use,Not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62"/>
    <col collapsed="false" customWidth="true" hidden="false" outlineLevel="0" max="4" min="4" style="0" width="18"/>
    <col collapsed="false" customWidth="true" hidden="false" outlineLevel="0" max="5" min="5" style="0" width="8"/>
    <col collapsed="false" customWidth="true" hidden="false" outlineLevel="0" max="6" min="6" style="0" width="14"/>
    <col collapsed="false" customWidth="true" hidden="false" outlineLevel="0" max="7" min="7" style="0" width="52"/>
    <col collapsed="false" customWidth="true" hidden="false" outlineLevel="0" max="8" min="8" style="0" width="15"/>
    <col collapsed="false" customWidth="true" hidden="false" outlineLevel="0" max="9" min="9" style="0" width="26"/>
    <col collapsed="false" customWidth="true" hidden="false" outlineLevel="0" max="10" min="10" style="0" width="44"/>
  </cols>
  <sheetData>
    <row r="1" customFormat="false" ht="17.35" hidden="false" customHeight="false" outlineLevel="0" collapsed="false">
      <c r="A1" s="7" t="s">
        <v>475</v>
      </c>
    </row>
    <row r="3" customFormat="false" ht="26.85" hidden="false" customHeight="false" outlineLevel="0" collapsed="false">
      <c r="A3" s="8" t="s">
        <v>28</v>
      </c>
      <c r="B3" s="8" t="s">
        <v>29</v>
      </c>
      <c r="C3" s="8" t="s">
        <v>30</v>
      </c>
      <c r="D3" s="8" t="s">
        <v>31</v>
      </c>
      <c r="E3" s="8" t="s">
        <v>32</v>
      </c>
      <c r="F3" s="8" t="s">
        <v>33</v>
      </c>
      <c r="G3" s="8" t="s">
        <v>34</v>
      </c>
      <c r="H3" s="8" t="s">
        <v>35</v>
      </c>
      <c r="I3" s="8" t="s">
        <v>36</v>
      </c>
      <c r="J3" s="8" t="s">
        <v>37</v>
      </c>
    </row>
    <row r="4" customFormat="false" ht="21.75" hidden="false" customHeight="true" outlineLevel="0" collapsed="false">
      <c r="A4" s="9" t="s">
        <v>476</v>
      </c>
      <c r="B4" s="9"/>
      <c r="C4" s="9"/>
      <c r="D4" s="9"/>
      <c r="E4" s="9"/>
      <c r="F4" s="9"/>
      <c r="G4" s="9"/>
      <c r="H4" s="10"/>
      <c r="I4" s="11"/>
      <c r="J4" s="11"/>
    </row>
    <row r="5" customFormat="false" ht="35.05" hidden="false" customHeight="false" outlineLevel="0" collapsed="false">
      <c r="A5" s="12" t="s">
        <v>477</v>
      </c>
      <c r="B5" s="12" t="s">
        <v>40</v>
      </c>
      <c r="C5" s="12" t="s">
        <v>478</v>
      </c>
      <c r="D5" s="12" t="s">
        <v>50</v>
      </c>
      <c r="E5" s="12" t="s">
        <v>51</v>
      </c>
      <c r="F5" s="12" t="s">
        <v>17</v>
      </c>
      <c r="G5" s="12" t="s">
        <v>479</v>
      </c>
      <c r="H5" s="13"/>
      <c r="I5" s="13"/>
      <c r="J5" s="13"/>
    </row>
    <row r="6" customFormat="false" ht="35.05" hidden="false" customHeight="false" outlineLevel="0" collapsed="false">
      <c r="A6" s="12" t="s">
        <v>480</v>
      </c>
      <c r="B6" s="12" t="s">
        <v>40</v>
      </c>
      <c r="C6" s="12" t="s">
        <v>481</v>
      </c>
      <c r="D6" s="12" t="s">
        <v>50</v>
      </c>
      <c r="E6" s="12" t="s">
        <v>51</v>
      </c>
      <c r="F6" s="12" t="s">
        <v>17</v>
      </c>
      <c r="G6" s="12" t="s">
        <v>482</v>
      </c>
      <c r="H6" s="13"/>
      <c r="I6" s="13"/>
      <c r="J6" s="13"/>
    </row>
    <row r="7" customFormat="false" ht="46.25" hidden="false" customHeight="false" outlineLevel="0" collapsed="false">
      <c r="A7" s="12" t="s">
        <v>483</v>
      </c>
      <c r="B7" s="12" t="s">
        <v>40</v>
      </c>
      <c r="C7" s="12" t="s">
        <v>484</v>
      </c>
      <c r="D7" s="12" t="s">
        <v>50</v>
      </c>
      <c r="E7" s="12" t="s">
        <v>51</v>
      </c>
      <c r="F7" s="12" t="s">
        <v>17</v>
      </c>
      <c r="G7" s="12" t="s">
        <v>485</v>
      </c>
      <c r="H7" s="13"/>
      <c r="I7" s="13"/>
      <c r="J7" s="13"/>
    </row>
    <row r="8" customFormat="false" ht="35.05" hidden="false" customHeight="false" outlineLevel="0" collapsed="false">
      <c r="A8" s="12" t="s">
        <v>486</v>
      </c>
      <c r="B8" s="12" t="s">
        <v>54</v>
      </c>
      <c r="C8" s="12" t="s">
        <v>487</v>
      </c>
      <c r="D8" s="12" t="s">
        <v>50</v>
      </c>
      <c r="E8" s="12" t="s">
        <v>51</v>
      </c>
      <c r="F8" s="12" t="s">
        <v>17</v>
      </c>
      <c r="G8" s="12" t="s">
        <v>488</v>
      </c>
      <c r="H8" s="13"/>
      <c r="I8" s="13"/>
      <c r="J8" s="13"/>
    </row>
    <row r="9" customFormat="false" ht="57.45" hidden="false" customHeight="false" outlineLevel="0" collapsed="false">
      <c r="A9" s="12" t="s">
        <v>489</v>
      </c>
      <c r="B9" s="12" t="s">
        <v>54</v>
      </c>
      <c r="C9" s="12" t="s">
        <v>490</v>
      </c>
      <c r="D9" s="12" t="s">
        <v>42</v>
      </c>
      <c r="E9" s="12" t="s">
        <v>51</v>
      </c>
      <c r="F9" s="12" t="s">
        <v>17</v>
      </c>
      <c r="G9" s="12" t="s">
        <v>491</v>
      </c>
      <c r="H9" s="13"/>
      <c r="I9" s="13"/>
      <c r="J9" s="13"/>
    </row>
    <row r="10" customFormat="false" ht="46.25" hidden="false" customHeight="false" outlineLevel="0" collapsed="false">
      <c r="A10" s="12" t="s">
        <v>492</v>
      </c>
      <c r="B10" s="12" t="s">
        <v>54</v>
      </c>
      <c r="C10" s="12" t="s">
        <v>493</v>
      </c>
      <c r="D10" s="12" t="s">
        <v>42</v>
      </c>
      <c r="E10" s="12" t="s">
        <v>51</v>
      </c>
      <c r="F10" s="12" t="s">
        <v>17</v>
      </c>
      <c r="G10" s="12" t="s">
        <v>494</v>
      </c>
      <c r="H10" s="13"/>
      <c r="I10" s="13"/>
      <c r="J10" s="13"/>
    </row>
    <row r="11" customFormat="false" ht="21.75" hidden="false" customHeight="true" outlineLevel="0" collapsed="false">
      <c r="A11" s="9" t="s">
        <v>495</v>
      </c>
      <c r="B11" s="9"/>
      <c r="C11" s="9"/>
      <c r="D11" s="9"/>
      <c r="E11" s="9"/>
      <c r="F11" s="9"/>
      <c r="G11" s="9"/>
      <c r="H11" s="10"/>
      <c r="I11" s="11"/>
      <c r="J11" s="11"/>
    </row>
    <row r="12" customFormat="false" ht="35.05" hidden="false" customHeight="false" outlineLevel="0" collapsed="false">
      <c r="A12" s="12" t="s">
        <v>496</v>
      </c>
      <c r="B12" s="12" t="s">
        <v>40</v>
      </c>
      <c r="C12" s="12" t="s">
        <v>497</v>
      </c>
      <c r="D12" s="12" t="s">
        <v>50</v>
      </c>
      <c r="E12" s="12" t="s">
        <v>51</v>
      </c>
      <c r="F12" s="12" t="s">
        <v>17</v>
      </c>
      <c r="G12" s="12" t="s">
        <v>498</v>
      </c>
      <c r="H12" s="13"/>
      <c r="I12" s="13"/>
      <c r="J12" s="13"/>
    </row>
    <row r="13" customFormat="false" ht="46.25" hidden="false" customHeight="false" outlineLevel="0" collapsed="false">
      <c r="A13" s="12" t="s">
        <v>499</v>
      </c>
      <c r="B13" s="12" t="s">
        <v>40</v>
      </c>
      <c r="C13" s="12" t="s">
        <v>500</v>
      </c>
      <c r="D13" s="12" t="s">
        <v>250</v>
      </c>
      <c r="E13" s="12" t="s">
        <v>51</v>
      </c>
      <c r="F13" s="12" t="s">
        <v>17</v>
      </c>
      <c r="G13" s="12" t="s">
        <v>501</v>
      </c>
      <c r="H13" s="13"/>
      <c r="I13" s="13"/>
      <c r="J13" s="13"/>
    </row>
    <row r="14" customFormat="false" ht="35.05" hidden="false" customHeight="false" outlineLevel="0" collapsed="false">
      <c r="A14" s="12" t="s">
        <v>502</v>
      </c>
      <c r="B14" s="12" t="s">
        <v>40</v>
      </c>
      <c r="C14" s="12" t="s">
        <v>503</v>
      </c>
      <c r="D14" s="12" t="s">
        <v>50</v>
      </c>
      <c r="E14" s="12" t="s">
        <v>51</v>
      </c>
      <c r="F14" s="12" t="s">
        <v>17</v>
      </c>
      <c r="G14" s="12" t="s">
        <v>504</v>
      </c>
      <c r="H14" s="13"/>
      <c r="I14" s="13"/>
      <c r="J14" s="13"/>
    </row>
    <row r="15" customFormat="false" ht="46.25" hidden="false" customHeight="false" outlineLevel="0" collapsed="false">
      <c r="A15" s="12" t="s">
        <v>505</v>
      </c>
      <c r="B15" s="12" t="s">
        <v>40</v>
      </c>
      <c r="C15" s="12" t="s">
        <v>506</v>
      </c>
      <c r="D15" s="12" t="s">
        <v>42</v>
      </c>
      <c r="E15" s="12" t="s">
        <v>51</v>
      </c>
      <c r="F15" s="12" t="s">
        <v>17</v>
      </c>
      <c r="G15" s="12" t="s">
        <v>507</v>
      </c>
      <c r="H15" s="13"/>
      <c r="I15" s="13"/>
      <c r="J15" s="13"/>
    </row>
    <row r="16" customFormat="false" ht="35.05" hidden="false" customHeight="false" outlineLevel="0" collapsed="false">
      <c r="A16" s="12" t="s">
        <v>508</v>
      </c>
      <c r="B16" s="12" t="s">
        <v>54</v>
      </c>
      <c r="C16" s="12" t="s">
        <v>509</v>
      </c>
      <c r="D16" s="12" t="s">
        <v>250</v>
      </c>
      <c r="E16" s="12" t="s">
        <v>51</v>
      </c>
      <c r="F16" s="12" t="s">
        <v>17</v>
      </c>
      <c r="G16" s="12" t="s">
        <v>510</v>
      </c>
      <c r="H16" s="13"/>
      <c r="I16" s="13"/>
      <c r="J16" s="13"/>
    </row>
    <row r="17" customFormat="false" ht="35.05" hidden="false" customHeight="false" outlineLevel="0" collapsed="false">
      <c r="A17" s="12" t="s">
        <v>511</v>
      </c>
      <c r="B17" s="12" t="s">
        <v>54</v>
      </c>
      <c r="C17" s="12" t="s">
        <v>512</v>
      </c>
      <c r="D17" s="12" t="s">
        <v>42</v>
      </c>
      <c r="E17" s="12" t="s">
        <v>51</v>
      </c>
      <c r="F17" s="12" t="s">
        <v>17</v>
      </c>
      <c r="G17" s="12" t="s">
        <v>513</v>
      </c>
      <c r="H17" s="13"/>
      <c r="I17" s="13"/>
      <c r="J17" s="13"/>
    </row>
    <row r="18" customFormat="false" ht="46.25" hidden="false" customHeight="false" outlineLevel="0" collapsed="false">
      <c r="A18" s="12" t="s">
        <v>514</v>
      </c>
      <c r="B18" s="12" t="s">
        <v>54</v>
      </c>
      <c r="C18" s="12" t="s">
        <v>515</v>
      </c>
      <c r="D18" s="12" t="s">
        <v>42</v>
      </c>
      <c r="E18" s="12" t="s">
        <v>51</v>
      </c>
      <c r="F18" s="12" t="s">
        <v>17</v>
      </c>
      <c r="G18" s="12" t="s">
        <v>516</v>
      </c>
      <c r="H18" s="13"/>
      <c r="I18" s="13"/>
      <c r="J18" s="13"/>
    </row>
    <row r="19" customFormat="false" ht="35.05" hidden="false" customHeight="false" outlineLevel="0" collapsed="false">
      <c r="A19" s="12" t="s">
        <v>517</v>
      </c>
      <c r="B19" s="12" t="s">
        <v>54</v>
      </c>
      <c r="C19" s="12" t="s">
        <v>518</v>
      </c>
      <c r="D19" s="12" t="s">
        <v>42</v>
      </c>
      <c r="E19" s="12" t="s">
        <v>43</v>
      </c>
      <c r="F19" s="12" t="s">
        <v>17</v>
      </c>
      <c r="G19" s="12" t="s">
        <v>519</v>
      </c>
      <c r="H19" s="13"/>
      <c r="I19" s="13"/>
      <c r="J19" s="13"/>
    </row>
    <row r="20" customFormat="false" ht="35.05" hidden="false" customHeight="false" outlineLevel="0" collapsed="false">
      <c r="A20" s="12" t="s">
        <v>520</v>
      </c>
      <c r="B20" s="12" t="s">
        <v>54</v>
      </c>
      <c r="C20" s="12" t="s">
        <v>521</v>
      </c>
      <c r="D20" s="12" t="s">
        <v>42</v>
      </c>
      <c r="E20" s="12" t="s">
        <v>43</v>
      </c>
      <c r="F20" s="12" t="s">
        <v>17</v>
      </c>
      <c r="G20" s="12" t="s">
        <v>522</v>
      </c>
      <c r="H20" s="13"/>
      <c r="I20" s="13"/>
      <c r="J20" s="13"/>
    </row>
    <row r="21" customFormat="false" ht="21.75" hidden="false" customHeight="true" outlineLevel="0" collapsed="false">
      <c r="A21" s="9" t="s">
        <v>523</v>
      </c>
      <c r="B21" s="9"/>
      <c r="C21" s="9"/>
      <c r="D21" s="9"/>
      <c r="E21" s="9"/>
      <c r="F21" s="9"/>
      <c r="G21" s="9"/>
      <c r="H21" s="10"/>
      <c r="I21" s="11"/>
      <c r="J21" s="11"/>
    </row>
    <row r="22" customFormat="false" ht="57.45" hidden="false" customHeight="false" outlineLevel="0" collapsed="false">
      <c r="A22" s="12" t="s">
        <v>524</v>
      </c>
      <c r="B22" s="12" t="s">
        <v>40</v>
      </c>
      <c r="C22" s="12" t="s">
        <v>525</v>
      </c>
      <c r="D22" s="12" t="s">
        <v>97</v>
      </c>
      <c r="E22" s="12" t="s">
        <v>51</v>
      </c>
      <c r="F22" s="12" t="s">
        <v>17</v>
      </c>
      <c r="G22" s="12" t="s">
        <v>526</v>
      </c>
      <c r="H22" s="13"/>
      <c r="I22" s="13"/>
      <c r="J22" s="13"/>
    </row>
    <row r="23" customFormat="false" ht="35.05" hidden="false" customHeight="false" outlineLevel="0" collapsed="false">
      <c r="A23" s="12" t="s">
        <v>527</v>
      </c>
      <c r="B23" s="12" t="s">
        <v>40</v>
      </c>
      <c r="C23" s="12" t="s">
        <v>528</v>
      </c>
      <c r="D23" s="12" t="s">
        <v>42</v>
      </c>
      <c r="E23" s="12" t="s">
        <v>51</v>
      </c>
      <c r="F23" s="12" t="s">
        <v>17</v>
      </c>
      <c r="G23" s="12" t="s">
        <v>529</v>
      </c>
      <c r="H23" s="13"/>
      <c r="I23" s="13"/>
      <c r="J23" s="13"/>
    </row>
    <row r="24" customFormat="false" ht="35.05" hidden="false" customHeight="false" outlineLevel="0" collapsed="false">
      <c r="A24" s="12" t="s">
        <v>530</v>
      </c>
      <c r="B24" s="12" t="s">
        <v>40</v>
      </c>
      <c r="C24" s="12" t="s">
        <v>531</v>
      </c>
      <c r="D24" s="12" t="s">
        <v>50</v>
      </c>
      <c r="E24" s="12" t="s">
        <v>51</v>
      </c>
      <c r="F24" s="12" t="s">
        <v>17</v>
      </c>
      <c r="G24" s="12" t="s">
        <v>532</v>
      </c>
      <c r="H24" s="13"/>
      <c r="I24" s="13"/>
      <c r="J24" s="13"/>
    </row>
    <row r="25" customFormat="false" ht="46.25" hidden="false" customHeight="false" outlineLevel="0" collapsed="false">
      <c r="A25" s="12" t="s">
        <v>533</v>
      </c>
      <c r="B25" s="12" t="s">
        <v>40</v>
      </c>
      <c r="C25" s="12" t="s">
        <v>534</v>
      </c>
      <c r="D25" s="12" t="s">
        <v>50</v>
      </c>
      <c r="E25" s="12" t="s">
        <v>51</v>
      </c>
      <c r="F25" s="12" t="s">
        <v>17</v>
      </c>
      <c r="G25" s="12" t="s">
        <v>535</v>
      </c>
      <c r="H25" s="13"/>
      <c r="I25" s="13"/>
      <c r="J25" s="13"/>
    </row>
    <row r="26" customFormat="false" ht="35.05" hidden="false" customHeight="false" outlineLevel="0" collapsed="false">
      <c r="A26" s="12" t="s">
        <v>536</v>
      </c>
      <c r="B26" s="12" t="s">
        <v>54</v>
      </c>
      <c r="C26" s="12" t="s">
        <v>537</v>
      </c>
      <c r="D26" s="12" t="s">
        <v>97</v>
      </c>
      <c r="E26" s="12" t="s">
        <v>51</v>
      </c>
      <c r="F26" s="12" t="s">
        <v>17</v>
      </c>
      <c r="G26" s="12" t="s">
        <v>538</v>
      </c>
      <c r="H26" s="13"/>
      <c r="I26" s="13"/>
      <c r="J26" s="13"/>
    </row>
    <row r="27" customFormat="false" ht="35.05" hidden="false" customHeight="false" outlineLevel="0" collapsed="false">
      <c r="A27" s="12" t="s">
        <v>539</v>
      </c>
      <c r="B27" s="12" t="s">
        <v>54</v>
      </c>
      <c r="C27" s="12" t="s">
        <v>540</v>
      </c>
      <c r="D27" s="12" t="s">
        <v>42</v>
      </c>
      <c r="E27" s="12" t="s">
        <v>51</v>
      </c>
      <c r="F27" s="12" t="s">
        <v>17</v>
      </c>
      <c r="G27" s="12" t="s">
        <v>541</v>
      </c>
      <c r="H27" s="13"/>
      <c r="I27" s="13"/>
      <c r="J27" s="13"/>
    </row>
    <row r="28" customFormat="false" ht="46.25" hidden="false" customHeight="false" outlineLevel="0" collapsed="false">
      <c r="A28" s="12" t="s">
        <v>542</v>
      </c>
      <c r="B28" s="12" t="s">
        <v>54</v>
      </c>
      <c r="C28" s="12" t="s">
        <v>543</v>
      </c>
      <c r="D28" s="12" t="s">
        <v>42</v>
      </c>
      <c r="E28" s="12" t="s">
        <v>43</v>
      </c>
      <c r="F28" s="12" t="s">
        <v>17</v>
      </c>
      <c r="G28" s="12" t="s">
        <v>544</v>
      </c>
      <c r="H28" s="13"/>
      <c r="I28" s="13"/>
      <c r="J28" s="13"/>
    </row>
    <row r="29" customFormat="false" ht="35.05" hidden="false" customHeight="false" outlineLevel="0" collapsed="false">
      <c r="A29" s="12" t="s">
        <v>545</v>
      </c>
      <c r="B29" s="12" t="s">
        <v>54</v>
      </c>
      <c r="C29" s="12" t="s">
        <v>546</v>
      </c>
      <c r="D29" s="12" t="s">
        <v>50</v>
      </c>
      <c r="E29" s="12" t="s">
        <v>51</v>
      </c>
      <c r="F29" s="12" t="s">
        <v>17</v>
      </c>
      <c r="G29" s="12" t="s">
        <v>547</v>
      </c>
      <c r="H29" s="13"/>
      <c r="I29" s="13"/>
      <c r="J29" s="13"/>
    </row>
    <row r="30" customFormat="false" ht="35.05" hidden="false" customHeight="false" outlineLevel="0" collapsed="false">
      <c r="A30" s="12" t="s">
        <v>548</v>
      </c>
      <c r="B30" s="12" t="s">
        <v>54</v>
      </c>
      <c r="C30" s="12" t="s">
        <v>549</v>
      </c>
      <c r="D30" s="12" t="s">
        <v>50</v>
      </c>
      <c r="E30" s="12" t="s">
        <v>51</v>
      </c>
      <c r="F30" s="12" t="s">
        <v>17</v>
      </c>
      <c r="G30" s="12" t="s">
        <v>550</v>
      </c>
      <c r="H30" s="13"/>
      <c r="I30" s="13"/>
      <c r="J30" s="13"/>
    </row>
    <row r="31" customFormat="false" ht="35.05" hidden="false" customHeight="false" outlineLevel="0" collapsed="false">
      <c r="A31" s="12" t="s">
        <v>551</v>
      </c>
      <c r="B31" s="12" t="s">
        <v>54</v>
      </c>
      <c r="C31" s="12" t="s">
        <v>552</v>
      </c>
      <c r="D31" s="12" t="s">
        <v>50</v>
      </c>
      <c r="E31" s="12" t="s">
        <v>51</v>
      </c>
      <c r="F31" s="12" t="s">
        <v>17</v>
      </c>
      <c r="G31" s="12" t="s">
        <v>553</v>
      </c>
      <c r="H31" s="13"/>
      <c r="I31" s="13"/>
      <c r="J31" s="13"/>
    </row>
    <row r="32" customFormat="false" ht="21.75" hidden="false" customHeight="true" outlineLevel="0" collapsed="false">
      <c r="A32" s="9" t="s">
        <v>554</v>
      </c>
      <c r="B32" s="9"/>
      <c r="C32" s="9"/>
      <c r="D32" s="9"/>
      <c r="E32" s="9"/>
      <c r="F32" s="9"/>
      <c r="G32" s="9"/>
      <c r="H32" s="10"/>
      <c r="I32" s="11"/>
      <c r="J32" s="11"/>
    </row>
    <row r="33" customFormat="false" ht="35.05" hidden="false" customHeight="false" outlineLevel="0" collapsed="false">
      <c r="A33" s="12" t="s">
        <v>555</v>
      </c>
      <c r="B33" s="12" t="s">
        <v>40</v>
      </c>
      <c r="C33" s="12" t="s">
        <v>556</v>
      </c>
      <c r="D33" s="12" t="s">
        <v>50</v>
      </c>
      <c r="E33" s="12" t="s">
        <v>51</v>
      </c>
      <c r="F33" s="12" t="s">
        <v>17</v>
      </c>
      <c r="G33" s="12" t="s">
        <v>557</v>
      </c>
      <c r="H33" s="13"/>
      <c r="I33" s="13"/>
      <c r="J33" s="13"/>
    </row>
    <row r="34" customFormat="false" ht="35.05" hidden="false" customHeight="false" outlineLevel="0" collapsed="false">
      <c r="A34" s="12" t="s">
        <v>558</v>
      </c>
      <c r="B34" s="12" t="s">
        <v>40</v>
      </c>
      <c r="C34" s="12" t="s">
        <v>559</v>
      </c>
      <c r="D34" s="12" t="s">
        <v>50</v>
      </c>
      <c r="E34" s="12" t="s">
        <v>51</v>
      </c>
      <c r="F34" s="12" t="s">
        <v>17</v>
      </c>
      <c r="G34" s="12" t="s">
        <v>560</v>
      </c>
      <c r="H34" s="13"/>
      <c r="I34" s="13"/>
      <c r="J34" s="13"/>
    </row>
    <row r="35" customFormat="false" ht="46.25" hidden="false" customHeight="false" outlineLevel="0" collapsed="false">
      <c r="A35" s="12" t="s">
        <v>561</v>
      </c>
      <c r="B35" s="12" t="s">
        <v>40</v>
      </c>
      <c r="C35" s="12" t="s">
        <v>562</v>
      </c>
      <c r="D35" s="12" t="s">
        <v>50</v>
      </c>
      <c r="E35" s="12" t="s">
        <v>51</v>
      </c>
      <c r="F35" s="12" t="s">
        <v>17</v>
      </c>
      <c r="G35" s="12" t="s">
        <v>563</v>
      </c>
      <c r="H35" s="13"/>
      <c r="I35" s="13"/>
      <c r="J35" s="13"/>
    </row>
    <row r="36" customFormat="false" ht="35.05" hidden="false" customHeight="false" outlineLevel="0" collapsed="false">
      <c r="A36" s="12" t="s">
        <v>564</v>
      </c>
      <c r="B36" s="12" t="s">
        <v>40</v>
      </c>
      <c r="C36" s="12" t="s">
        <v>565</v>
      </c>
      <c r="D36" s="12" t="s">
        <v>50</v>
      </c>
      <c r="E36" s="12" t="s">
        <v>51</v>
      </c>
      <c r="F36" s="12" t="s">
        <v>17</v>
      </c>
      <c r="G36" s="12" t="s">
        <v>566</v>
      </c>
      <c r="H36" s="13"/>
      <c r="I36" s="13"/>
      <c r="J36" s="13"/>
    </row>
    <row r="37" customFormat="false" ht="35.05" hidden="false" customHeight="false" outlineLevel="0" collapsed="false">
      <c r="A37" s="12" t="s">
        <v>567</v>
      </c>
      <c r="B37" s="12" t="s">
        <v>54</v>
      </c>
      <c r="C37" s="12" t="s">
        <v>568</v>
      </c>
      <c r="D37" s="12" t="s">
        <v>50</v>
      </c>
      <c r="E37" s="12" t="s">
        <v>51</v>
      </c>
      <c r="F37" s="12" t="s">
        <v>17</v>
      </c>
      <c r="G37" s="12" t="s">
        <v>569</v>
      </c>
      <c r="H37" s="13"/>
      <c r="I37" s="13"/>
      <c r="J37" s="13"/>
    </row>
    <row r="38" customFormat="false" ht="46.25" hidden="false" customHeight="false" outlineLevel="0" collapsed="false">
      <c r="A38" s="12" t="s">
        <v>570</v>
      </c>
      <c r="B38" s="12" t="s">
        <v>54</v>
      </c>
      <c r="C38" s="12" t="s">
        <v>571</v>
      </c>
      <c r="D38" s="12" t="s">
        <v>50</v>
      </c>
      <c r="E38" s="12" t="s">
        <v>51</v>
      </c>
      <c r="F38" s="12" t="s">
        <v>17</v>
      </c>
      <c r="G38" s="12" t="s">
        <v>572</v>
      </c>
      <c r="H38" s="13"/>
      <c r="I38" s="13"/>
      <c r="J38" s="13"/>
    </row>
    <row r="39" customFormat="false" ht="46.25" hidden="false" customHeight="false" outlineLevel="0" collapsed="false">
      <c r="A39" s="12" t="s">
        <v>573</v>
      </c>
      <c r="B39" s="12" t="s">
        <v>54</v>
      </c>
      <c r="C39" s="12" t="s">
        <v>574</v>
      </c>
      <c r="D39" s="12" t="s">
        <v>50</v>
      </c>
      <c r="E39" s="12" t="s">
        <v>51</v>
      </c>
      <c r="F39" s="12" t="s">
        <v>17</v>
      </c>
      <c r="G39" s="12" t="s">
        <v>575</v>
      </c>
      <c r="H39" s="13"/>
      <c r="I39" s="13"/>
      <c r="J39" s="13"/>
    </row>
    <row r="40" customFormat="false" ht="46.25" hidden="false" customHeight="false" outlineLevel="0" collapsed="false">
      <c r="A40" s="12" t="s">
        <v>576</v>
      </c>
      <c r="B40" s="12" t="s">
        <v>54</v>
      </c>
      <c r="C40" s="12" t="s">
        <v>577</v>
      </c>
      <c r="D40" s="12" t="s">
        <v>50</v>
      </c>
      <c r="E40" s="12" t="s">
        <v>51</v>
      </c>
      <c r="F40" s="12" t="s">
        <v>17</v>
      </c>
      <c r="G40" s="12" t="s">
        <v>578</v>
      </c>
      <c r="H40" s="13"/>
      <c r="I40" s="13"/>
      <c r="J40" s="13"/>
    </row>
    <row r="41" customFormat="false" ht="21.75" hidden="false" customHeight="true" outlineLevel="0" collapsed="false">
      <c r="A41" s="9" t="s">
        <v>579</v>
      </c>
      <c r="B41" s="9"/>
      <c r="C41" s="9"/>
      <c r="D41" s="9"/>
      <c r="E41" s="9"/>
      <c r="F41" s="9"/>
      <c r="G41" s="9"/>
      <c r="H41" s="10"/>
      <c r="I41" s="11"/>
      <c r="J41" s="11"/>
    </row>
    <row r="42" customFormat="false" ht="35.05" hidden="false" customHeight="false" outlineLevel="0" collapsed="false">
      <c r="A42" s="12" t="s">
        <v>580</v>
      </c>
      <c r="B42" s="12" t="s">
        <v>40</v>
      </c>
      <c r="C42" s="12" t="s">
        <v>581</v>
      </c>
      <c r="D42" s="12" t="s">
        <v>42</v>
      </c>
      <c r="E42" s="12" t="s">
        <v>43</v>
      </c>
      <c r="F42" s="12" t="s">
        <v>17</v>
      </c>
      <c r="G42" s="12" t="s">
        <v>582</v>
      </c>
      <c r="H42" s="13"/>
      <c r="I42" s="13"/>
      <c r="J42" s="13"/>
    </row>
    <row r="43" customFormat="false" ht="35.05" hidden="false" customHeight="false" outlineLevel="0" collapsed="false">
      <c r="A43" s="12" t="s">
        <v>583</v>
      </c>
      <c r="B43" s="12" t="s">
        <v>40</v>
      </c>
      <c r="C43" s="12" t="s">
        <v>584</v>
      </c>
      <c r="D43" s="12" t="s">
        <v>42</v>
      </c>
      <c r="E43" s="12" t="s">
        <v>43</v>
      </c>
      <c r="F43" s="12" t="s">
        <v>17</v>
      </c>
      <c r="G43" s="12" t="s">
        <v>585</v>
      </c>
      <c r="H43" s="13"/>
      <c r="I43" s="13"/>
      <c r="J43" s="13"/>
    </row>
    <row r="44" customFormat="false" ht="35.05" hidden="false" customHeight="false" outlineLevel="0" collapsed="false">
      <c r="A44" s="12" t="s">
        <v>586</v>
      </c>
      <c r="B44" s="12" t="s">
        <v>40</v>
      </c>
      <c r="C44" s="12" t="s">
        <v>587</v>
      </c>
      <c r="D44" s="12" t="s">
        <v>42</v>
      </c>
      <c r="E44" s="12" t="s">
        <v>43</v>
      </c>
      <c r="F44" s="12" t="s">
        <v>17</v>
      </c>
      <c r="G44" s="12" t="s">
        <v>588</v>
      </c>
      <c r="H44" s="13"/>
      <c r="I44" s="13"/>
      <c r="J44" s="13"/>
    </row>
    <row r="45" customFormat="false" ht="35.05" hidden="false" customHeight="false" outlineLevel="0" collapsed="false">
      <c r="A45" s="12" t="s">
        <v>589</v>
      </c>
      <c r="B45" s="12" t="s">
        <v>40</v>
      </c>
      <c r="C45" s="12" t="s">
        <v>590</v>
      </c>
      <c r="D45" s="12" t="s">
        <v>50</v>
      </c>
      <c r="E45" s="12" t="s">
        <v>51</v>
      </c>
      <c r="F45" s="12" t="s">
        <v>17</v>
      </c>
      <c r="G45" s="12" t="s">
        <v>591</v>
      </c>
      <c r="H45" s="13"/>
      <c r="I45" s="13"/>
      <c r="J45" s="13"/>
    </row>
    <row r="46" customFormat="false" ht="35.05" hidden="false" customHeight="false" outlineLevel="0" collapsed="false">
      <c r="A46" s="12" t="s">
        <v>592</v>
      </c>
      <c r="B46" s="12" t="s">
        <v>54</v>
      </c>
      <c r="C46" s="12" t="s">
        <v>593</v>
      </c>
      <c r="D46" s="12" t="s">
        <v>42</v>
      </c>
      <c r="E46" s="12" t="s">
        <v>43</v>
      </c>
      <c r="F46" s="12" t="s">
        <v>17</v>
      </c>
      <c r="G46" s="12" t="s">
        <v>594</v>
      </c>
      <c r="H46" s="13"/>
      <c r="I46" s="13"/>
      <c r="J46" s="13"/>
    </row>
    <row r="47" customFormat="false" ht="46.25" hidden="false" customHeight="false" outlineLevel="0" collapsed="false">
      <c r="A47" s="12" t="s">
        <v>595</v>
      </c>
      <c r="B47" s="12" t="s">
        <v>54</v>
      </c>
      <c r="C47" s="12" t="s">
        <v>596</v>
      </c>
      <c r="D47" s="12" t="s">
        <v>42</v>
      </c>
      <c r="E47" s="12" t="s">
        <v>43</v>
      </c>
      <c r="F47" s="12" t="s">
        <v>17</v>
      </c>
      <c r="G47" s="12" t="s">
        <v>597</v>
      </c>
      <c r="H47" s="13"/>
      <c r="I47" s="13"/>
      <c r="J47" s="13"/>
    </row>
    <row r="48" customFormat="false" ht="35.05" hidden="false" customHeight="false" outlineLevel="0" collapsed="false">
      <c r="A48" s="12" t="s">
        <v>598</v>
      </c>
      <c r="B48" s="12" t="s">
        <v>54</v>
      </c>
      <c r="C48" s="12" t="s">
        <v>599</v>
      </c>
      <c r="D48" s="12" t="s">
        <v>50</v>
      </c>
      <c r="E48" s="12" t="s">
        <v>51</v>
      </c>
      <c r="F48" s="12" t="s">
        <v>17</v>
      </c>
      <c r="G48" s="12" t="s">
        <v>600</v>
      </c>
      <c r="H48" s="13"/>
      <c r="I48" s="13"/>
      <c r="J48" s="13"/>
    </row>
    <row r="49" customFormat="false" ht="35.05" hidden="false" customHeight="false" outlineLevel="0" collapsed="false">
      <c r="A49" s="12" t="s">
        <v>601</v>
      </c>
      <c r="B49" s="12" t="s">
        <v>54</v>
      </c>
      <c r="C49" s="12" t="s">
        <v>602</v>
      </c>
      <c r="D49" s="12" t="s">
        <v>50</v>
      </c>
      <c r="E49" s="12" t="s">
        <v>51</v>
      </c>
      <c r="F49" s="12" t="s">
        <v>17</v>
      </c>
      <c r="G49" s="12" t="s">
        <v>603</v>
      </c>
      <c r="H49" s="13"/>
      <c r="I49" s="13"/>
      <c r="J49" s="13"/>
    </row>
    <row r="50" customFormat="false" ht="21.75" hidden="false" customHeight="true" outlineLevel="0" collapsed="false">
      <c r="A50" s="9" t="s">
        <v>604</v>
      </c>
      <c r="B50" s="9"/>
      <c r="C50" s="9"/>
      <c r="D50" s="9"/>
      <c r="E50" s="9"/>
      <c r="F50" s="9"/>
      <c r="G50" s="9"/>
      <c r="H50" s="10"/>
      <c r="I50" s="11"/>
      <c r="J50" s="11"/>
    </row>
    <row r="51" customFormat="false" ht="35.05" hidden="false" customHeight="false" outlineLevel="0" collapsed="false">
      <c r="A51" s="12" t="s">
        <v>605</v>
      </c>
      <c r="B51" s="12" t="s">
        <v>40</v>
      </c>
      <c r="C51" s="12" t="s">
        <v>606</v>
      </c>
      <c r="D51" s="12" t="s">
        <v>50</v>
      </c>
      <c r="E51" s="12" t="s">
        <v>51</v>
      </c>
      <c r="F51" s="12" t="s">
        <v>17</v>
      </c>
      <c r="G51" s="12" t="s">
        <v>607</v>
      </c>
      <c r="H51" s="13"/>
      <c r="I51" s="13"/>
      <c r="J51" s="13"/>
    </row>
    <row r="52" customFormat="false" ht="35.05" hidden="false" customHeight="false" outlineLevel="0" collapsed="false">
      <c r="A52" s="12" t="s">
        <v>608</v>
      </c>
      <c r="B52" s="12" t="s">
        <v>40</v>
      </c>
      <c r="C52" s="12" t="s">
        <v>609</v>
      </c>
      <c r="D52" s="12" t="s">
        <v>50</v>
      </c>
      <c r="E52" s="12" t="s">
        <v>51</v>
      </c>
      <c r="F52" s="12" t="s">
        <v>17</v>
      </c>
      <c r="G52" s="12" t="s">
        <v>610</v>
      </c>
      <c r="H52" s="13"/>
      <c r="I52" s="13"/>
      <c r="J52" s="13"/>
    </row>
    <row r="53" customFormat="false" ht="46.25" hidden="false" customHeight="false" outlineLevel="0" collapsed="false">
      <c r="A53" s="12" t="s">
        <v>611</v>
      </c>
      <c r="B53" s="12" t="s">
        <v>40</v>
      </c>
      <c r="C53" s="12" t="s">
        <v>612</v>
      </c>
      <c r="D53" s="12" t="s">
        <v>50</v>
      </c>
      <c r="E53" s="12" t="s">
        <v>51</v>
      </c>
      <c r="F53" s="12" t="s">
        <v>17</v>
      </c>
      <c r="G53" s="12" t="s">
        <v>613</v>
      </c>
      <c r="H53" s="13"/>
      <c r="I53" s="13"/>
      <c r="J53" s="13"/>
    </row>
    <row r="54" customFormat="false" ht="35.05" hidden="false" customHeight="false" outlineLevel="0" collapsed="false">
      <c r="A54" s="12" t="s">
        <v>614</v>
      </c>
      <c r="B54" s="12" t="s">
        <v>54</v>
      </c>
      <c r="C54" s="12" t="s">
        <v>615</v>
      </c>
      <c r="D54" s="12" t="s">
        <v>50</v>
      </c>
      <c r="E54" s="12" t="s">
        <v>51</v>
      </c>
      <c r="F54" s="12" t="s">
        <v>17</v>
      </c>
      <c r="G54" s="12" t="s">
        <v>616</v>
      </c>
      <c r="H54" s="13"/>
      <c r="I54" s="13"/>
      <c r="J54" s="13"/>
    </row>
    <row r="55" customFormat="false" ht="35.05" hidden="false" customHeight="false" outlineLevel="0" collapsed="false">
      <c r="A55" s="12" t="s">
        <v>617</v>
      </c>
      <c r="B55" s="12" t="s">
        <v>54</v>
      </c>
      <c r="C55" s="12" t="s">
        <v>618</v>
      </c>
      <c r="D55" s="12" t="s">
        <v>50</v>
      </c>
      <c r="E55" s="12" t="s">
        <v>51</v>
      </c>
      <c r="F55" s="12" t="s">
        <v>17</v>
      </c>
      <c r="G55" s="12" t="s">
        <v>619</v>
      </c>
      <c r="H55" s="13"/>
      <c r="I55" s="13"/>
      <c r="J55" s="13"/>
    </row>
    <row r="56" customFormat="false" ht="35.05" hidden="false" customHeight="false" outlineLevel="0" collapsed="false">
      <c r="A56" s="12" t="s">
        <v>620</v>
      </c>
      <c r="B56" s="12" t="s">
        <v>54</v>
      </c>
      <c r="C56" s="12" t="s">
        <v>621</v>
      </c>
      <c r="D56" s="12" t="s">
        <v>50</v>
      </c>
      <c r="E56" s="12" t="s">
        <v>51</v>
      </c>
      <c r="F56" s="12" t="s">
        <v>17</v>
      </c>
      <c r="G56" s="12" t="s">
        <v>622</v>
      </c>
      <c r="H56" s="13"/>
      <c r="I56" s="13"/>
      <c r="J56" s="13"/>
    </row>
  </sheetData>
  <mergeCells count="12">
    <mergeCell ref="A4:G4"/>
    <mergeCell ref="I4:J4"/>
    <mergeCell ref="A11:G11"/>
    <mergeCell ref="I11:J11"/>
    <mergeCell ref="A21:G21"/>
    <mergeCell ref="I21:J21"/>
    <mergeCell ref="A32:G32"/>
    <mergeCell ref="I32:J32"/>
    <mergeCell ref="A41:G41"/>
    <mergeCell ref="I41:J41"/>
    <mergeCell ref="A50:G50"/>
    <mergeCell ref="I50:J50"/>
  </mergeCells>
  <dataValidations count="1">
    <dataValidation allowBlank="true" errorStyle="stop" operator="between" showDropDown="false" showErrorMessage="false" showInputMessage="false" sqref="H5:H10 H12:H20 H22:H31 H33:H40 H42:H49 H51:H56" type="list">
      <formula1>"Use,Do not use,Not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62"/>
    <col collapsed="false" customWidth="true" hidden="false" outlineLevel="0" max="4" min="4" style="0" width="18"/>
    <col collapsed="false" customWidth="true" hidden="false" outlineLevel="0" max="5" min="5" style="0" width="8"/>
    <col collapsed="false" customWidth="true" hidden="false" outlineLevel="0" max="6" min="6" style="0" width="14"/>
    <col collapsed="false" customWidth="true" hidden="false" outlineLevel="0" max="7" min="7" style="0" width="52"/>
    <col collapsed="false" customWidth="true" hidden="false" outlineLevel="0" max="8" min="8" style="0" width="15"/>
    <col collapsed="false" customWidth="true" hidden="false" outlineLevel="0" max="9" min="9" style="0" width="26"/>
    <col collapsed="false" customWidth="true" hidden="false" outlineLevel="0" max="10" min="10" style="0" width="44"/>
  </cols>
  <sheetData>
    <row r="1" customFormat="false" ht="17.35" hidden="false" customHeight="false" outlineLevel="0" collapsed="false">
      <c r="A1" s="7" t="s">
        <v>623</v>
      </c>
    </row>
    <row r="3" customFormat="false" ht="26.85" hidden="false" customHeight="false" outlineLevel="0" collapsed="false">
      <c r="A3" s="8" t="s">
        <v>28</v>
      </c>
      <c r="B3" s="8" t="s">
        <v>29</v>
      </c>
      <c r="C3" s="8" t="s">
        <v>30</v>
      </c>
      <c r="D3" s="8" t="s">
        <v>31</v>
      </c>
      <c r="E3" s="8" t="s">
        <v>32</v>
      </c>
      <c r="F3" s="8" t="s">
        <v>33</v>
      </c>
      <c r="G3" s="8" t="s">
        <v>34</v>
      </c>
      <c r="H3" s="8" t="s">
        <v>35</v>
      </c>
      <c r="I3" s="8" t="s">
        <v>36</v>
      </c>
      <c r="J3" s="8" t="s">
        <v>37</v>
      </c>
    </row>
    <row r="4" customFormat="false" ht="21.75" hidden="false" customHeight="true" outlineLevel="0" collapsed="false">
      <c r="A4" s="9" t="s">
        <v>624</v>
      </c>
      <c r="B4" s="9"/>
      <c r="C4" s="9"/>
      <c r="D4" s="9"/>
      <c r="E4" s="9"/>
      <c r="F4" s="9"/>
      <c r="G4" s="9"/>
      <c r="H4" s="10"/>
      <c r="I4" s="11"/>
      <c r="J4" s="11"/>
    </row>
    <row r="5" customFormat="false" ht="46.25" hidden="false" customHeight="false" outlineLevel="0" collapsed="false">
      <c r="A5" s="12" t="s">
        <v>625</v>
      </c>
      <c r="B5" s="12" t="s">
        <v>40</v>
      </c>
      <c r="C5" s="12" t="s">
        <v>626</v>
      </c>
      <c r="D5" s="12" t="s">
        <v>50</v>
      </c>
      <c r="E5" s="12" t="s">
        <v>51</v>
      </c>
      <c r="F5" s="12" t="s">
        <v>17</v>
      </c>
      <c r="G5" s="12" t="s">
        <v>627</v>
      </c>
      <c r="H5" s="13"/>
      <c r="I5" s="13"/>
      <c r="J5" s="13"/>
    </row>
    <row r="6" customFormat="false" ht="35.05" hidden="false" customHeight="false" outlineLevel="0" collapsed="false">
      <c r="A6" s="12" t="s">
        <v>628</v>
      </c>
      <c r="B6" s="12" t="s">
        <v>40</v>
      </c>
      <c r="C6" s="12" t="s">
        <v>629</v>
      </c>
      <c r="D6" s="12" t="s">
        <v>50</v>
      </c>
      <c r="E6" s="12" t="s">
        <v>51</v>
      </c>
      <c r="F6" s="12" t="s">
        <v>17</v>
      </c>
      <c r="G6" s="12" t="s">
        <v>630</v>
      </c>
      <c r="H6" s="13"/>
      <c r="I6" s="13"/>
      <c r="J6" s="13"/>
    </row>
    <row r="7" customFormat="false" ht="35.05" hidden="false" customHeight="false" outlineLevel="0" collapsed="false">
      <c r="A7" s="12" t="s">
        <v>631</v>
      </c>
      <c r="B7" s="12" t="s">
        <v>40</v>
      </c>
      <c r="C7" s="12" t="s">
        <v>632</v>
      </c>
      <c r="D7" s="12" t="s">
        <v>50</v>
      </c>
      <c r="E7" s="12" t="s">
        <v>51</v>
      </c>
      <c r="F7" s="12" t="s">
        <v>17</v>
      </c>
      <c r="G7" s="12" t="s">
        <v>633</v>
      </c>
      <c r="H7" s="13"/>
      <c r="I7" s="13"/>
      <c r="J7" s="13"/>
    </row>
    <row r="8" customFormat="false" ht="35.05" hidden="false" customHeight="false" outlineLevel="0" collapsed="false">
      <c r="A8" s="12" t="s">
        <v>634</v>
      </c>
      <c r="B8" s="12" t="s">
        <v>40</v>
      </c>
      <c r="C8" s="12" t="s">
        <v>635</v>
      </c>
      <c r="D8" s="12" t="s">
        <v>50</v>
      </c>
      <c r="E8" s="12" t="s">
        <v>43</v>
      </c>
      <c r="F8" s="12" t="s">
        <v>17</v>
      </c>
      <c r="G8" s="12" t="s">
        <v>636</v>
      </c>
      <c r="H8" s="13"/>
      <c r="I8" s="13"/>
      <c r="J8" s="13"/>
    </row>
    <row r="9" customFormat="false" ht="35.05" hidden="false" customHeight="false" outlineLevel="0" collapsed="false">
      <c r="A9" s="12" t="s">
        <v>637</v>
      </c>
      <c r="B9" s="12" t="s">
        <v>54</v>
      </c>
      <c r="C9" s="12" t="s">
        <v>638</v>
      </c>
      <c r="D9" s="12" t="s">
        <v>50</v>
      </c>
      <c r="E9" s="12" t="s">
        <v>51</v>
      </c>
      <c r="F9" s="12" t="s">
        <v>17</v>
      </c>
      <c r="G9" s="12" t="s">
        <v>639</v>
      </c>
      <c r="H9" s="13"/>
      <c r="I9" s="13"/>
      <c r="J9" s="13"/>
    </row>
    <row r="10" customFormat="false" ht="35.05" hidden="false" customHeight="false" outlineLevel="0" collapsed="false">
      <c r="A10" s="12" t="s">
        <v>640</v>
      </c>
      <c r="B10" s="12" t="s">
        <v>54</v>
      </c>
      <c r="C10" s="12" t="s">
        <v>641</v>
      </c>
      <c r="D10" s="12" t="s">
        <v>50</v>
      </c>
      <c r="E10" s="12" t="s">
        <v>51</v>
      </c>
      <c r="F10" s="12" t="s">
        <v>17</v>
      </c>
      <c r="G10" s="12" t="s">
        <v>642</v>
      </c>
      <c r="H10" s="13"/>
      <c r="I10" s="13"/>
      <c r="J10" s="13"/>
    </row>
    <row r="11" customFormat="false" ht="35.05" hidden="false" customHeight="false" outlineLevel="0" collapsed="false">
      <c r="A11" s="12" t="s">
        <v>643</v>
      </c>
      <c r="B11" s="12" t="s">
        <v>54</v>
      </c>
      <c r="C11" s="12" t="s">
        <v>644</v>
      </c>
      <c r="D11" s="12" t="s">
        <v>50</v>
      </c>
      <c r="E11" s="12" t="s">
        <v>51</v>
      </c>
      <c r="F11" s="12" t="s">
        <v>17</v>
      </c>
      <c r="G11" s="12" t="s">
        <v>645</v>
      </c>
      <c r="H11" s="13"/>
      <c r="I11" s="13"/>
      <c r="J11" s="13"/>
    </row>
    <row r="12" customFormat="false" ht="35.05" hidden="false" customHeight="false" outlineLevel="0" collapsed="false">
      <c r="A12" s="12" t="s">
        <v>646</v>
      </c>
      <c r="B12" s="12" t="s">
        <v>54</v>
      </c>
      <c r="C12" s="12" t="s">
        <v>647</v>
      </c>
      <c r="D12" s="12" t="s">
        <v>50</v>
      </c>
      <c r="E12" s="12" t="s">
        <v>51</v>
      </c>
      <c r="F12" s="12" t="s">
        <v>17</v>
      </c>
      <c r="G12" s="12" t="s">
        <v>648</v>
      </c>
      <c r="H12" s="13"/>
      <c r="I12" s="13"/>
      <c r="J12" s="13"/>
    </row>
    <row r="13" customFormat="false" ht="35.05" hidden="false" customHeight="false" outlineLevel="0" collapsed="false">
      <c r="A13" s="12" t="s">
        <v>649</v>
      </c>
      <c r="B13" s="12" t="s">
        <v>54</v>
      </c>
      <c r="C13" s="12" t="s">
        <v>650</v>
      </c>
      <c r="D13" s="12" t="s">
        <v>50</v>
      </c>
      <c r="E13" s="12" t="s">
        <v>51</v>
      </c>
      <c r="F13" s="12" t="s">
        <v>17</v>
      </c>
      <c r="G13" s="12" t="s">
        <v>651</v>
      </c>
      <c r="H13" s="13"/>
      <c r="I13" s="13"/>
      <c r="J13" s="13"/>
    </row>
    <row r="14" customFormat="false" ht="35.05" hidden="false" customHeight="false" outlineLevel="0" collapsed="false">
      <c r="A14" s="12" t="s">
        <v>652</v>
      </c>
      <c r="B14" s="12" t="s">
        <v>54</v>
      </c>
      <c r="C14" s="12" t="s">
        <v>653</v>
      </c>
      <c r="D14" s="12" t="s">
        <v>50</v>
      </c>
      <c r="E14" s="12" t="s">
        <v>51</v>
      </c>
      <c r="F14" s="12" t="s">
        <v>17</v>
      </c>
      <c r="G14" s="12" t="s">
        <v>654</v>
      </c>
      <c r="H14" s="13"/>
      <c r="I14" s="13"/>
      <c r="J14" s="13"/>
    </row>
    <row r="15" customFormat="false" ht="21.75" hidden="false" customHeight="true" outlineLevel="0" collapsed="false">
      <c r="A15" s="9" t="s">
        <v>655</v>
      </c>
      <c r="B15" s="9"/>
      <c r="C15" s="9"/>
      <c r="D15" s="9"/>
      <c r="E15" s="9"/>
      <c r="F15" s="9"/>
      <c r="G15" s="9"/>
      <c r="H15" s="10"/>
      <c r="I15" s="11"/>
      <c r="J15" s="11"/>
    </row>
    <row r="16" customFormat="false" ht="46.25" hidden="false" customHeight="false" outlineLevel="0" collapsed="false">
      <c r="A16" s="12" t="s">
        <v>656</v>
      </c>
      <c r="B16" s="12" t="s">
        <v>40</v>
      </c>
      <c r="C16" s="12" t="s">
        <v>657</v>
      </c>
      <c r="D16" s="12" t="s">
        <v>50</v>
      </c>
      <c r="E16" s="12" t="s">
        <v>51</v>
      </c>
      <c r="F16" s="12" t="s">
        <v>17</v>
      </c>
      <c r="G16" s="12" t="s">
        <v>658</v>
      </c>
      <c r="H16" s="13"/>
      <c r="I16" s="13"/>
      <c r="J16" s="13"/>
    </row>
    <row r="17" customFormat="false" ht="23.85" hidden="false" customHeight="false" outlineLevel="0" collapsed="false">
      <c r="A17" s="12" t="s">
        <v>659</v>
      </c>
      <c r="B17" s="12" t="s">
        <v>40</v>
      </c>
      <c r="C17" s="12" t="s">
        <v>660</v>
      </c>
      <c r="D17" s="12" t="s">
        <v>279</v>
      </c>
      <c r="E17" s="12" t="s">
        <v>280</v>
      </c>
      <c r="F17" s="12" t="s">
        <v>18</v>
      </c>
      <c r="G17" s="12"/>
      <c r="H17" s="13"/>
      <c r="I17" s="13"/>
      <c r="J17" s="13"/>
    </row>
    <row r="18" customFormat="false" ht="46.25" hidden="false" customHeight="false" outlineLevel="0" collapsed="false">
      <c r="A18" s="12" t="s">
        <v>661</v>
      </c>
      <c r="B18" s="12" t="s">
        <v>40</v>
      </c>
      <c r="C18" s="12" t="s">
        <v>662</v>
      </c>
      <c r="D18" s="12" t="s">
        <v>250</v>
      </c>
      <c r="E18" s="12" t="s">
        <v>51</v>
      </c>
      <c r="F18" s="12" t="s">
        <v>17</v>
      </c>
      <c r="G18" s="12" t="s">
        <v>663</v>
      </c>
      <c r="H18" s="13"/>
      <c r="I18" s="13"/>
      <c r="J18" s="13"/>
    </row>
    <row r="19" customFormat="false" ht="35.05" hidden="false" customHeight="false" outlineLevel="0" collapsed="false">
      <c r="A19" s="12" t="s">
        <v>664</v>
      </c>
      <c r="B19" s="12" t="s">
        <v>40</v>
      </c>
      <c r="C19" s="12" t="s">
        <v>665</v>
      </c>
      <c r="D19" s="12" t="s">
        <v>50</v>
      </c>
      <c r="E19" s="12" t="s">
        <v>43</v>
      </c>
      <c r="F19" s="12" t="s">
        <v>17</v>
      </c>
      <c r="G19" s="12" t="s">
        <v>666</v>
      </c>
      <c r="H19" s="13"/>
      <c r="I19" s="13"/>
      <c r="J19" s="13"/>
    </row>
    <row r="20" customFormat="false" ht="35.05" hidden="false" customHeight="false" outlineLevel="0" collapsed="false">
      <c r="A20" s="12" t="s">
        <v>667</v>
      </c>
      <c r="B20" s="12" t="s">
        <v>54</v>
      </c>
      <c r="C20" s="12" t="s">
        <v>668</v>
      </c>
      <c r="D20" s="12" t="s">
        <v>50</v>
      </c>
      <c r="E20" s="12" t="s">
        <v>51</v>
      </c>
      <c r="F20" s="12" t="s">
        <v>17</v>
      </c>
      <c r="G20" s="12" t="s">
        <v>669</v>
      </c>
      <c r="H20" s="13"/>
      <c r="I20" s="13"/>
      <c r="J20" s="13"/>
    </row>
    <row r="21" customFormat="false" ht="23.85" hidden="false" customHeight="false" outlineLevel="0" collapsed="false">
      <c r="A21" s="12" t="s">
        <v>670</v>
      </c>
      <c r="B21" s="12" t="s">
        <v>54</v>
      </c>
      <c r="C21" s="12" t="s">
        <v>671</v>
      </c>
      <c r="D21" s="12" t="s">
        <v>279</v>
      </c>
      <c r="E21" s="12" t="s">
        <v>280</v>
      </c>
      <c r="F21" s="12" t="s">
        <v>18</v>
      </c>
      <c r="G21" s="12"/>
      <c r="H21" s="13"/>
      <c r="I21" s="13"/>
      <c r="J21" s="13"/>
    </row>
    <row r="22" customFormat="false" ht="35.05" hidden="false" customHeight="false" outlineLevel="0" collapsed="false">
      <c r="A22" s="12" t="s">
        <v>672</v>
      </c>
      <c r="B22" s="12" t="s">
        <v>54</v>
      </c>
      <c r="C22" s="12" t="s">
        <v>673</v>
      </c>
      <c r="D22" s="12" t="s">
        <v>279</v>
      </c>
      <c r="E22" s="12" t="s">
        <v>280</v>
      </c>
      <c r="F22" s="12" t="s">
        <v>18</v>
      </c>
      <c r="G22" s="12"/>
      <c r="H22" s="13"/>
      <c r="I22" s="13"/>
      <c r="J22" s="13"/>
    </row>
    <row r="23" customFormat="false" ht="35.05" hidden="false" customHeight="false" outlineLevel="0" collapsed="false">
      <c r="A23" s="12" t="s">
        <v>674</v>
      </c>
      <c r="B23" s="12" t="s">
        <v>54</v>
      </c>
      <c r="C23" s="12" t="s">
        <v>675</v>
      </c>
      <c r="D23" s="12" t="s">
        <v>50</v>
      </c>
      <c r="E23" s="12" t="s">
        <v>51</v>
      </c>
      <c r="F23" s="12" t="s">
        <v>17</v>
      </c>
      <c r="G23" s="12" t="s">
        <v>676</v>
      </c>
      <c r="H23" s="13"/>
      <c r="I23" s="13"/>
      <c r="J23" s="13"/>
    </row>
    <row r="24" customFormat="false" ht="35.05" hidden="false" customHeight="false" outlineLevel="0" collapsed="false">
      <c r="A24" s="12" t="s">
        <v>677</v>
      </c>
      <c r="B24" s="12" t="s">
        <v>54</v>
      </c>
      <c r="C24" s="12" t="s">
        <v>678</v>
      </c>
      <c r="D24" s="12" t="s">
        <v>50</v>
      </c>
      <c r="E24" s="12" t="s">
        <v>43</v>
      </c>
      <c r="F24" s="12" t="s">
        <v>17</v>
      </c>
      <c r="G24" s="12" t="s">
        <v>679</v>
      </c>
      <c r="H24" s="13"/>
      <c r="I24" s="13"/>
      <c r="J24" s="13"/>
    </row>
    <row r="25" customFormat="false" ht="21.75" hidden="false" customHeight="true" outlineLevel="0" collapsed="false">
      <c r="A25" s="9" t="s">
        <v>680</v>
      </c>
      <c r="B25" s="9"/>
      <c r="C25" s="9"/>
      <c r="D25" s="9"/>
      <c r="E25" s="9"/>
      <c r="F25" s="9"/>
      <c r="G25" s="9"/>
      <c r="H25" s="10"/>
      <c r="I25" s="11"/>
      <c r="J25" s="11"/>
    </row>
    <row r="26" customFormat="false" ht="35.05" hidden="false" customHeight="false" outlineLevel="0" collapsed="false">
      <c r="A26" s="12" t="s">
        <v>681</v>
      </c>
      <c r="B26" s="12" t="s">
        <v>40</v>
      </c>
      <c r="C26" s="12" t="s">
        <v>682</v>
      </c>
      <c r="D26" s="12" t="s">
        <v>50</v>
      </c>
      <c r="E26" s="12" t="s">
        <v>51</v>
      </c>
      <c r="F26" s="12" t="s">
        <v>17</v>
      </c>
      <c r="G26" s="12" t="s">
        <v>683</v>
      </c>
      <c r="H26" s="13"/>
      <c r="I26" s="13"/>
      <c r="J26" s="13"/>
    </row>
    <row r="27" customFormat="false" ht="35.05" hidden="false" customHeight="false" outlineLevel="0" collapsed="false">
      <c r="A27" s="12" t="s">
        <v>684</v>
      </c>
      <c r="B27" s="12" t="s">
        <v>40</v>
      </c>
      <c r="C27" s="12" t="s">
        <v>685</v>
      </c>
      <c r="D27" s="12" t="s">
        <v>50</v>
      </c>
      <c r="E27" s="12" t="s">
        <v>51</v>
      </c>
      <c r="F27" s="12" t="s">
        <v>17</v>
      </c>
      <c r="G27" s="12" t="s">
        <v>686</v>
      </c>
      <c r="H27" s="13"/>
      <c r="I27" s="13"/>
      <c r="J27" s="13"/>
    </row>
    <row r="28" customFormat="false" ht="23.85" hidden="false" customHeight="false" outlineLevel="0" collapsed="false">
      <c r="A28" s="12" t="s">
        <v>687</v>
      </c>
      <c r="B28" s="12" t="s">
        <v>40</v>
      </c>
      <c r="C28" s="12" t="s">
        <v>688</v>
      </c>
      <c r="D28" s="12" t="s">
        <v>50</v>
      </c>
      <c r="E28" s="12" t="s">
        <v>51</v>
      </c>
      <c r="F28" s="12" t="s">
        <v>17</v>
      </c>
      <c r="G28" s="12" t="s">
        <v>689</v>
      </c>
      <c r="H28" s="13"/>
      <c r="I28" s="13"/>
      <c r="J28" s="13"/>
    </row>
    <row r="29" customFormat="false" ht="35.05" hidden="false" customHeight="false" outlineLevel="0" collapsed="false">
      <c r="A29" s="12" t="s">
        <v>690</v>
      </c>
      <c r="B29" s="12" t="s">
        <v>40</v>
      </c>
      <c r="C29" s="12" t="s">
        <v>691</v>
      </c>
      <c r="D29" s="12" t="s">
        <v>50</v>
      </c>
      <c r="E29" s="12" t="s">
        <v>51</v>
      </c>
      <c r="F29" s="12" t="s">
        <v>17</v>
      </c>
      <c r="G29" s="12" t="s">
        <v>692</v>
      </c>
      <c r="H29" s="13"/>
      <c r="I29" s="13"/>
      <c r="J29" s="13"/>
    </row>
    <row r="30" customFormat="false" ht="35.05" hidden="false" customHeight="false" outlineLevel="0" collapsed="false">
      <c r="A30" s="12" t="s">
        <v>693</v>
      </c>
      <c r="B30" s="12" t="s">
        <v>54</v>
      </c>
      <c r="C30" s="12" t="s">
        <v>694</v>
      </c>
      <c r="D30" s="12" t="s">
        <v>50</v>
      </c>
      <c r="E30" s="12" t="s">
        <v>51</v>
      </c>
      <c r="F30" s="12" t="s">
        <v>17</v>
      </c>
      <c r="G30" s="12" t="s">
        <v>695</v>
      </c>
      <c r="H30" s="13"/>
      <c r="I30" s="13"/>
      <c r="J30" s="13"/>
    </row>
    <row r="31" customFormat="false" ht="35.05" hidden="false" customHeight="false" outlineLevel="0" collapsed="false">
      <c r="A31" s="12" t="s">
        <v>696</v>
      </c>
      <c r="B31" s="12" t="s">
        <v>54</v>
      </c>
      <c r="C31" s="12" t="s">
        <v>697</v>
      </c>
      <c r="D31" s="12" t="s">
        <v>50</v>
      </c>
      <c r="E31" s="12" t="s">
        <v>51</v>
      </c>
      <c r="F31" s="12" t="s">
        <v>17</v>
      </c>
      <c r="G31" s="12" t="s">
        <v>698</v>
      </c>
      <c r="H31" s="13"/>
      <c r="I31" s="13"/>
      <c r="J31" s="13"/>
    </row>
    <row r="32" customFormat="false" ht="35.05" hidden="false" customHeight="false" outlineLevel="0" collapsed="false">
      <c r="A32" s="12" t="s">
        <v>699</v>
      </c>
      <c r="B32" s="12" t="s">
        <v>54</v>
      </c>
      <c r="C32" s="12" t="s">
        <v>700</v>
      </c>
      <c r="D32" s="12" t="s">
        <v>50</v>
      </c>
      <c r="E32" s="12" t="s">
        <v>51</v>
      </c>
      <c r="F32" s="12" t="s">
        <v>17</v>
      </c>
      <c r="G32" s="12" t="s">
        <v>701</v>
      </c>
      <c r="H32" s="13"/>
      <c r="I32" s="13"/>
      <c r="J32" s="13"/>
    </row>
    <row r="33" customFormat="false" ht="35.05" hidden="false" customHeight="false" outlineLevel="0" collapsed="false">
      <c r="A33" s="12" t="s">
        <v>702</v>
      </c>
      <c r="B33" s="12" t="s">
        <v>54</v>
      </c>
      <c r="C33" s="12" t="s">
        <v>703</v>
      </c>
      <c r="D33" s="12" t="s">
        <v>50</v>
      </c>
      <c r="E33" s="12" t="s">
        <v>51</v>
      </c>
      <c r="F33" s="12" t="s">
        <v>17</v>
      </c>
      <c r="G33" s="12" t="s">
        <v>704</v>
      </c>
      <c r="H33" s="13"/>
      <c r="I33" s="13"/>
      <c r="J33" s="13"/>
    </row>
    <row r="34" customFormat="false" ht="21.75" hidden="false" customHeight="true" outlineLevel="0" collapsed="false">
      <c r="A34" s="9" t="s">
        <v>705</v>
      </c>
      <c r="B34" s="9"/>
      <c r="C34" s="9"/>
      <c r="D34" s="9"/>
      <c r="E34" s="9"/>
      <c r="F34" s="9"/>
      <c r="G34" s="9"/>
      <c r="H34" s="10"/>
      <c r="I34" s="11"/>
      <c r="J34" s="11"/>
    </row>
    <row r="35" customFormat="false" ht="35.05" hidden="false" customHeight="false" outlineLevel="0" collapsed="false">
      <c r="A35" s="12" t="s">
        <v>706</v>
      </c>
      <c r="B35" s="12" t="s">
        <v>40</v>
      </c>
      <c r="C35" s="12" t="s">
        <v>707</v>
      </c>
      <c r="D35" s="12" t="s">
        <v>50</v>
      </c>
      <c r="E35" s="12" t="s">
        <v>51</v>
      </c>
      <c r="F35" s="12" t="s">
        <v>17</v>
      </c>
      <c r="G35" s="12" t="s">
        <v>708</v>
      </c>
      <c r="H35" s="13"/>
      <c r="I35" s="13"/>
      <c r="J35" s="13"/>
    </row>
    <row r="36" customFormat="false" ht="35.05" hidden="false" customHeight="false" outlineLevel="0" collapsed="false">
      <c r="A36" s="12" t="s">
        <v>709</v>
      </c>
      <c r="B36" s="12" t="s">
        <v>40</v>
      </c>
      <c r="C36" s="12" t="s">
        <v>710</v>
      </c>
      <c r="D36" s="12" t="s">
        <v>50</v>
      </c>
      <c r="E36" s="12" t="s">
        <v>51</v>
      </c>
      <c r="F36" s="12" t="s">
        <v>17</v>
      </c>
      <c r="G36" s="12" t="s">
        <v>711</v>
      </c>
      <c r="H36" s="13"/>
      <c r="I36" s="13"/>
      <c r="J36" s="13"/>
    </row>
    <row r="37" customFormat="false" ht="23.85" hidden="false" customHeight="false" outlineLevel="0" collapsed="false">
      <c r="A37" s="12" t="s">
        <v>712</v>
      </c>
      <c r="B37" s="12" t="s">
        <v>40</v>
      </c>
      <c r="C37" s="12" t="s">
        <v>713</v>
      </c>
      <c r="D37" s="12" t="s">
        <v>91</v>
      </c>
      <c r="E37" s="12" t="s">
        <v>51</v>
      </c>
      <c r="F37" s="12" t="s">
        <v>17</v>
      </c>
      <c r="G37" s="12"/>
      <c r="H37" s="13"/>
      <c r="I37" s="13"/>
      <c r="J37" s="13"/>
    </row>
    <row r="38" customFormat="false" ht="35.05" hidden="false" customHeight="false" outlineLevel="0" collapsed="false">
      <c r="A38" s="12" t="s">
        <v>714</v>
      </c>
      <c r="B38" s="12" t="s">
        <v>40</v>
      </c>
      <c r="C38" s="12" t="s">
        <v>715</v>
      </c>
      <c r="D38" s="12" t="s">
        <v>50</v>
      </c>
      <c r="E38" s="12" t="s">
        <v>51</v>
      </c>
      <c r="F38" s="12" t="s">
        <v>17</v>
      </c>
      <c r="G38" s="12" t="s">
        <v>716</v>
      </c>
      <c r="H38" s="13"/>
      <c r="I38" s="13"/>
      <c r="J38" s="13"/>
    </row>
    <row r="39" customFormat="false" ht="35.05" hidden="false" customHeight="false" outlineLevel="0" collapsed="false">
      <c r="A39" s="12" t="s">
        <v>717</v>
      </c>
      <c r="B39" s="12" t="s">
        <v>54</v>
      </c>
      <c r="C39" s="12" t="s">
        <v>718</v>
      </c>
      <c r="D39" s="12" t="s">
        <v>50</v>
      </c>
      <c r="E39" s="12" t="s">
        <v>51</v>
      </c>
      <c r="F39" s="12" t="s">
        <v>17</v>
      </c>
      <c r="G39" s="12" t="s">
        <v>719</v>
      </c>
      <c r="H39" s="13"/>
      <c r="I39" s="13"/>
      <c r="J39" s="13"/>
    </row>
    <row r="40" customFormat="false" ht="35.05" hidden="false" customHeight="false" outlineLevel="0" collapsed="false">
      <c r="A40" s="12" t="s">
        <v>720</v>
      </c>
      <c r="B40" s="12" t="s">
        <v>54</v>
      </c>
      <c r="C40" s="12" t="s">
        <v>721</v>
      </c>
      <c r="D40" s="12" t="s">
        <v>50</v>
      </c>
      <c r="E40" s="12" t="s">
        <v>51</v>
      </c>
      <c r="F40" s="12" t="s">
        <v>17</v>
      </c>
      <c r="G40" s="12" t="s">
        <v>722</v>
      </c>
      <c r="H40" s="13"/>
      <c r="I40" s="13"/>
      <c r="J40" s="13"/>
    </row>
    <row r="41" customFormat="false" ht="35.05" hidden="false" customHeight="false" outlineLevel="0" collapsed="false">
      <c r="A41" s="12" t="s">
        <v>723</v>
      </c>
      <c r="B41" s="12" t="s">
        <v>54</v>
      </c>
      <c r="C41" s="12" t="s">
        <v>724</v>
      </c>
      <c r="D41" s="12" t="s">
        <v>50</v>
      </c>
      <c r="E41" s="12" t="s">
        <v>51</v>
      </c>
      <c r="F41" s="12" t="s">
        <v>17</v>
      </c>
      <c r="G41" s="12" t="s">
        <v>725</v>
      </c>
      <c r="H41" s="13"/>
      <c r="I41" s="13"/>
      <c r="J41" s="13"/>
    </row>
    <row r="42" customFormat="false" ht="46.25" hidden="false" customHeight="false" outlineLevel="0" collapsed="false">
      <c r="A42" s="12" t="s">
        <v>726</v>
      </c>
      <c r="B42" s="12" t="s">
        <v>54</v>
      </c>
      <c r="C42" s="12" t="s">
        <v>727</v>
      </c>
      <c r="D42" s="12" t="s">
        <v>42</v>
      </c>
      <c r="E42" s="12" t="s">
        <v>51</v>
      </c>
      <c r="F42" s="12" t="s">
        <v>17</v>
      </c>
      <c r="G42" s="12" t="s">
        <v>728</v>
      </c>
      <c r="H42" s="13"/>
      <c r="I42" s="13"/>
      <c r="J42" s="13"/>
    </row>
    <row r="43" customFormat="false" ht="35.05" hidden="false" customHeight="false" outlineLevel="0" collapsed="false">
      <c r="A43" s="12" t="s">
        <v>729</v>
      </c>
      <c r="B43" s="12" t="s">
        <v>54</v>
      </c>
      <c r="C43" s="12" t="s">
        <v>730</v>
      </c>
      <c r="D43" s="12" t="s">
        <v>42</v>
      </c>
      <c r="E43" s="12" t="s">
        <v>43</v>
      </c>
      <c r="F43" s="12" t="s">
        <v>17</v>
      </c>
      <c r="G43" s="12" t="s">
        <v>731</v>
      </c>
      <c r="H43" s="13"/>
      <c r="I43" s="13"/>
      <c r="J43" s="13"/>
    </row>
    <row r="44" customFormat="false" ht="21.75" hidden="false" customHeight="true" outlineLevel="0" collapsed="false">
      <c r="A44" s="9" t="s">
        <v>732</v>
      </c>
      <c r="B44" s="9"/>
      <c r="C44" s="9"/>
      <c r="D44" s="9"/>
      <c r="E44" s="9"/>
      <c r="F44" s="9"/>
      <c r="G44" s="9"/>
      <c r="H44" s="10"/>
      <c r="I44" s="11"/>
      <c r="J44" s="11"/>
    </row>
    <row r="45" customFormat="false" ht="35.05" hidden="false" customHeight="false" outlineLevel="0" collapsed="false">
      <c r="A45" s="12" t="s">
        <v>733</v>
      </c>
      <c r="B45" s="12" t="s">
        <v>40</v>
      </c>
      <c r="C45" s="12" t="s">
        <v>734</v>
      </c>
      <c r="D45" s="12" t="s">
        <v>50</v>
      </c>
      <c r="E45" s="12" t="s">
        <v>51</v>
      </c>
      <c r="F45" s="12" t="s">
        <v>17</v>
      </c>
      <c r="G45" s="12" t="s">
        <v>735</v>
      </c>
      <c r="H45" s="13"/>
      <c r="I45" s="13"/>
      <c r="J45" s="13"/>
    </row>
    <row r="46" customFormat="false" ht="46.25" hidden="false" customHeight="false" outlineLevel="0" collapsed="false">
      <c r="A46" s="12" t="s">
        <v>736</v>
      </c>
      <c r="B46" s="12" t="s">
        <v>40</v>
      </c>
      <c r="C46" s="12" t="s">
        <v>737</v>
      </c>
      <c r="D46" s="12" t="s">
        <v>50</v>
      </c>
      <c r="E46" s="12" t="s">
        <v>51</v>
      </c>
      <c r="F46" s="12" t="s">
        <v>17</v>
      </c>
      <c r="G46" s="12" t="s">
        <v>738</v>
      </c>
      <c r="H46" s="13"/>
      <c r="I46" s="13"/>
      <c r="J46" s="13"/>
    </row>
    <row r="47" customFormat="false" ht="35.05" hidden="false" customHeight="false" outlineLevel="0" collapsed="false">
      <c r="A47" s="12" t="s">
        <v>739</v>
      </c>
      <c r="B47" s="12" t="s">
        <v>40</v>
      </c>
      <c r="C47" s="12" t="s">
        <v>740</v>
      </c>
      <c r="D47" s="12" t="s">
        <v>250</v>
      </c>
      <c r="E47" s="12" t="s">
        <v>51</v>
      </c>
      <c r="F47" s="12" t="s">
        <v>17</v>
      </c>
      <c r="G47" s="12" t="s">
        <v>741</v>
      </c>
      <c r="H47" s="13"/>
      <c r="I47" s="13"/>
      <c r="J47" s="13"/>
    </row>
    <row r="48" customFormat="false" ht="35.05" hidden="false" customHeight="false" outlineLevel="0" collapsed="false">
      <c r="A48" s="12" t="s">
        <v>742</v>
      </c>
      <c r="B48" s="12" t="s">
        <v>40</v>
      </c>
      <c r="C48" s="12" t="s">
        <v>743</v>
      </c>
      <c r="D48" s="12" t="s">
        <v>50</v>
      </c>
      <c r="E48" s="12" t="s">
        <v>51</v>
      </c>
      <c r="F48" s="12" t="s">
        <v>17</v>
      </c>
      <c r="G48" s="12" t="s">
        <v>744</v>
      </c>
      <c r="H48" s="13"/>
      <c r="I48" s="13"/>
      <c r="J48" s="13"/>
    </row>
    <row r="49" customFormat="false" ht="46.25" hidden="false" customHeight="false" outlineLevel="0" collapsed="false">
      <c r="A49" s="12" t="s">
        <v>745</v>
      </c>
      <c r="B49" s="12" t="s">
        <v>54</v>
      </c>
      <c r="C49" s="12" t="s">
        <v>746</v>
      </c>
      <c r="D49" s="12" t="s">
        <v>50</v>
      </c>
      <c r="E49" s="12" t="s">
        <v>51</v>
      </c>
      <c r="F49" s="12" t="s">
        <v>17</v>
      </c>
      <c r="G49" s="12" t="s">
        <v>747</v>
      </c>
      <c r="H49" s="13"/>
      <c r="I49" s="13"/>
      <c r="J49" s="13"/>
    </row>
    <row r="50" customFormat="false" ht="35.05" hidden="false" customHeight="false" outlineLevel="0" collapsed="false">
      <c r="A50" s="12" t="s">
        <v>748</v>
      </c>
      <c r="B50" s="12" t="s">
        <v>54</v>
      </c>
      <c r="C50" s="12" t="s">
        <v>749</v>
      </c>
      <c r="D50" s="12" t="s">
        <v>50</v>
      </c>
      <c r="E50" s="12" t="s">
        <v>51</v>
      </c>
      <c r="F50" s="12" t="s">
        <v>17</v>
      </c>
      <c r="G50" s="12" t="s">
        <v>750</v>
      </c>
      <c r="H50" s="13"/>
      <c r="I50" s="13"/>
      <c r="J50" s="13"/>
    </row>
    <row r="51" customFormat="false" ht="35.05" hidden="false" customHeight="false" outlineLevel="0" collapsed="false">
      <c r="A51" s="12" t="s">
        <v>751</v>
      </c>
      <c r="B51" s="12" t="s">
        <v>54</v>
      </c>
      <c r="C51" s="12" t="s">
        <v>752</v>
      </c>
      <c r="D51" s="12" t="s">
        <v>250</v>
      </c>
      <c r="E51" s="12" t="s">
        <v>51</v>
      </c>
      <c r="F51" s="12" t="s">
        <v>17</v>
      </c>
      <c r="G51" s="12" t="s">
        <v>753</v>
      </c>
      <c r="H51" s="13"/>
      <c r="I51" s="13"/>
      <c r="J51" s="13"/>
    </row>
    <row r="52" customFormat="false" ht="35.05" hidden="false" customHeight="false" outlineLevel="0" collapsed="false">
      <c r="A52" s="12" t="s">
        <v>754</v>
      </c>
      <c r="B52" s="12" t="s">
        <v>54</v>
      </c>
      <c r="C52" s="12" t="s">
        <v>755</v>
      </c>
      <c r="D52" s="12" t="s">
        <v>50</v>
      </c>
      <c r="E52" s="12" t="s">
        <v>51</v>
      </c>
      <c r="F52" s="12" t="s">
        <v>17</v>
      </c>
      <c r="G52" s="12" t="s">
        <v>756</v>
      </c>
      <c r="H52" s="13"/>
      <c r="I52" s="13"/>
      <c r="J52" s="13"/>
    </row>
    <row r="53" customFormat="false" ht="21.75" hidden="false" customHeight="true" outlineLevel="0" collapsed="false">
      <c r="A53" s="9" t="s">
        <v>757</v>
      </c>
      <c r="B53" s="9"/>
      <c r="C53" s="9"/>
      <c r="D53" s="9"/>
      <c r="E53" s="9"/>
      <c r="F53" s="9"/>
      <c r="G53" s="9"/>
      <c r="H53" s="10"/>
      <c r="I53" s="11"/>
      <c r="J53" s="11"/>
    </row>
    <row r="54" customFormat="false" ht="35.05" hidden="false" customHeight="false" outlineLevel="0" collapsed="false">
      <c r="A54" s="12" t="s">
        <v>758</v>
      </c>
      <c r="B54" s="12" t="s">
        <v>40</v>
      </c>
      <c r="C54" s="12" t="s">
        <v>759</v>
      </c>
      <c r="D54" s="12" t="s">
        <v>50</v>
      </c>
      <c r="E54" s="12" t="s">
        <v>51</v>
      </c>
      <c r="F54" s="12" t="s">
        <v>17</v>
      </c>
      <c r="G54" s="12" t="s">
        <v>760</v>
      </c>
      <c r="H54" s="13"/>
      <c r="I54" s="13"/>
      <c r="J54" s="13"/>
    </row>
    <row r="55" customFormat="false" ht="35.05" hidden="false" customHeight="false" outlineLevel="0" collapsed="false">
      <c r="A55" s="12" t="s">
        <v>761</v>
      </c>
      <c r="B55" s="12" t="s">
        <v>40</v>
      </c>
      <c r="C55" s="12" t="s">
        <v>762</v>
      </c>
      <c r="D55" s="12" t="s">
        <v>50</v>
      </c>
      <c r="E55" s="12" t="s">
        <v>51</v>
      </c>
      <c r="F55" s="12" t="s">
        <v>17</v>
      </c>
      <c r="G55" s="12" t="s">
        <v>763</v>
      </c>
      <c r="H55" s="13"/>
      <c r="I55" s="13"/>
      <c r="J55" s="13"/>
    </row>
    <row r="56" customFormat="false" ht="35.05" hidden="false" customHeight="false" outlineLevel="0" collapsed="false">
      <c r="A56" s="12" t="s">
        <v>764</v>
      </c>
      <c r="B56" s="12" t="s">
        <v>40</v>
      </c>
      <c r="C56" s="12" t="s">
        <v>765</v>
      </c>
      <c r="D56" s="12" t="s">
        <v>50</v>
      </c>
      <c r="E56" s="12" t="s">
        <v>51</v>
      </c>
      <c r="F56" s="12" t="s">
        <v>17</v>
      </c>
      <c r="G56" s="12" t="s">
        <v>766</v>
      </c>
      <c r="H56" s="13"/>
      <c r="I56" s="13"/>
      <c r="J56" s="13"/>
    </row>
    <row r="57" customFormat="false" ht="23.85" hidden="false" customHeight="false" outlineLevel="0" collapsed="false">
      <c r="A57" s="12" t="s">
        <v>767</v>
      </c>
      <c r="B57" s="12" t="s">
        <v>40</v>
      </c>
      <c r="C57" s="12" t="s">
        <v>768</v>
      </c>
      <c r="D57" s="12" t="s">
        <v>50</v>
      </c>
      <c r="E57" s="12" t="s">
        <v>51</v>
      </c>
      <c r="F57" s="12" t="s">
        <v>17</v>
      </c>
      <c r="G57" s="12" t="s">
        <v>769</v>
      </c>
      <c r="H57" s="13"/>
      <c r="I57" s="13"/>
      <c r="J57" s="13"/>
    </row>
    <row r="58" customFormat="false" ht="35.05" hidden="false" customHeight="false" outlineLevel="0" collapsed="false">
      <c r="A58" s="12" t="s">
        <v>770</v>
      </c>
      <c r="B58" s="12" t="s">
        <v>54</v>
      </c>
      <c r="C58" s="12" t="s">
        <v>771</v>
      </c>
      <c r="D58" s="12" t="s">
        <v>50</v>
      </c>
      <c r="E58" s="12" t="s">
        <v>51</v>
      </c>
      <c r="F58" s="12" t="s">
        <v>17</v>
      </c>
      <c r="G58" s="12" t="s">
        <v>772</v>
      </c>
      <c r="H58" s="13"/>
      <c r="I58" s="13"/>
      <c r="J58" s="13"/>
    </row>
    <row r="59" customFormat="false" ht="46.25" hidden="false" customHeight="false" outlineLevel="0" collapsed="false">
      <c r="A59" s="12" t="s">
        <v>773</v>
      </c>
      <c r="B59" s="12" t="s">
        <v>54</v>
      </c>
      <c r="C59" s="12" t="s">
        <v>774</v>
      </c>
      <c r="D59" s="12" t="s">
        <v>50</v>
      </c>
      <c r="E59" s="12" t="s">
        <v>51</v>
      </c>
      <c r="F59" s="12" t="s">
        <v>17</v>
      </c>
      <c r="G59" s="12" t="s">
        <v>775</v>
      </c>
      <c r="H59" s="13"/>
      <c r="I59" s="13"/>
      <c r="J59" s="13"/>
    </row>
    <row r="60" customFormat="false" ht="46.25" hidden="false" customHeight="false" outlineLevel="0" collapsed="false">
      <c r="A60" s="12" t="s">
        <v>776</v>
      </c>
      <c r="B60" s="12" t="s">
        <v>54</v>
      </c>
      <c r="C60" s="12" t="s">
        <v>777</v>
      </c>
      <c r="D60" s="12" t="s">
        <v>50</v>
      </c>
      <c r="E60" s="12" t="s">
        <v>51</v>
      </c>
      <c r="F60" s="12" t="s">
        <v>17</v>
      </c>
      <c r="G60" s="12" t="s">
        <v>778</v>
      </c>
      <c r="H60" s="13"/>
      <c r="I60" s="13"/>
      <c r="J60" s="13"/>
    </row>
    <row r="61" customFormat="false" ht="35.05" hidden="false" customHeight="false" outlineLevel="0" collapsed="false">
      <c r="A61" s="12" t="s">
        <v>779</v>
      </c>
      <c r="B61" s="12" t="s">
        <v>54</v>
      </c>
      <c r="C61" s="12" t="s">
        <v>780</v>
      </c>
      <c r="D61" s="12" t="s">
        <v>50</v>
      </c>
      <c r="E61" s="12" t="s">
        <v>51</v>
      </c>
      <c r="F61" s="12" t="s">
        <v>17</v>
      </c>
      <c r="G61" s="12" t="s">
        <v>781</v>
      </c>
      <c r="H61" s="13"/>
      <c r="I61" s="13"/>
      <c r="J61" s="13"/>
    </row>
    <row r="62" customFormat="false" ht="35.05" hidden="false" customHeight="false" outlineLevel="0" collapsed="false">
      <c r="A62" s="12" t="s">
        <v>782</v>
      </c>
      <c r="B62" s="12" t="s">
        <v>54</v>
      </c>
      <c r="C62" s="12" t="s">
        <v>783</v>
      </c>
      <c r="D62" s="12" t="s">
        <v>91</v>
      </c>
      <c r="E62" s="12" t="s">
        <v>43</v>
      </c>
      <c r="F62" s="12" t="s">
        <v>17</v>
      </c>
      <c r="G62" s="12"/>
      <c r="H62" s="13"/>
      <c r="I62" s="13"/>
      <c r="J62" s="13"/>
    </row>
  </sheetData>
  <mergeCells count="12">
    <mergeCell ref="A4:G4"/>
    <mergeCell ref="I4:J4"/>
    <mergeCell ref="A15:G15"/>
    <mergeCell ref="I15:J15"/>
    <mergeCell ref="A25:G25"/>
    <mergeCell ref="I25:J25"/>
    <mergeCell ref="A34:G34"/>
    <mergeCell ref="I34:J34"/>
    <mergeCell ref="A44:G44"/>
    <mergeCell ref="I44:J44"/>
    <mergeCell ref="A53:G53"/>
    <mergeCell ref="I53:J53"/>
  </mergeCells>
  <dataValidations count="1">
    <dataValidation allowBlank="true" errorStyle="stop" operator="between" showDropDown="false" showErrorMessage="false" showInputMessage="false" sqref="H5:H14 H16:H24 H26:H33 H35:H43 H45:H52 H54:H62" type="list">
      <formula1>"Use,Do not use,Not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2026-10-05T22:33:38Z</dcterms:created>
  <dc:creator>openpyxl</dc:creator>
  <dc:description/>
  <dc:language>en-US</dc:language>
  <cp:lastModifiedBy/>
  <dcterms:modified xsi:type="dcterms:W3CDTF">2026-10-05T22:33:38Z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